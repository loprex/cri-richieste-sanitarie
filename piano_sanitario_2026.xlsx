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cri/Desktop/MODULI TIPO/PREVENTIVI/MODILI ASSISTENZE E TRASPORTI/"/>
    </mc:Choice>
  </mc:AlternateContent>
  <xr:revisionPtr revIDLastSave="0" documentId="13_ncr:1_{E1EBE7F6-3B39-E241-A55C-07886250FF46}" xr6:coauthVersionLast="47" xr6:coauthVersionMax="47" xr10:uidLastSave="{00000000-0000-0000-0000-000000000000}"/>
  <bookViews>
    <workbookView xWindow="39740" yWindow="600" windowWidth="23300" windowHeight="14760" tabRatio="500" xr2:uid="{00000000-000D-0000-FFFF-FFFF00000000}"/>
  </bookViews>
  <sheets>
    <sheet name="Foglio1" sheetId="1" r:id="rId1"/>
  </sheets>
  <definedNames>
    <definedName name="_GoBack"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J138" i="1" l="1"/>
  <c r="J136" i="1"/>
  <c r="J135" i="1"/>
  <c r="J134" i="1"/>
  <c r="J133" i="1"/>
  <c r="J132" i="1"/>
  <c r="J131" i="1"/>
  <c r="J130" i="1"/>
  <c r="J128" i="1"/>
  <c r="J127" i="1"/>
  <c r="J126" i="1"/>
  <c r="J121" i="1"/>
  <c r="J120" i="1"/>
  <c r="J119" i="1"/>
  <c r="J111" i="1"/>
  <c r="J110" i="1"/>
  <c r="J109" i="1"/>
  <c r="J108" i="1"/>
  <c r="J106" i="1"/>
  <c r="J105" i="1"/>
  <c r="J104" i="1"/>
  <c r="J103" i="1"/>
  <c r="J107" i="1"/>
  <c r="J112" i="1"/>
  <c r="J113" i="1"/>
  <c r="J114" i="1"/>
  <c r="J115" i="1"/>
  <c r="J116" i="1"/>
  <c r="J117" i="1"/>
  <c r="J118" i="1"/>
  <c r="J122" i="1"/>
  <c r="J123" i="1"/>
  <c r="J124" i="1"/>
  <c r="J125" i="1"/>
  <c r="J129" i="1"/>
  <c r="J102" i="1"/>
  <c r="J204" i="1"/>
  <c r="J203" i="1"/>
  <c r="J202" i="1"/>
  <c r="J201" i="1"/>
  <c r="J200" i="1"/>
  <c r="J199" i="1"/>
  <c r="J205" i="1" l="1"/>
  <c r="C207" i="1"/>
  <c r="I207" i="1"/>
  <c r="C218" i="1"/>
  <c r="F207" i="1"/>
  <c r="J153" i="1" l="1"/>
  <c r="J152" i="1"/>
  <c r="J151" i="1"/>
  <c r="J150" i="1"/>
  <c r="J149" i="1"/>
  <c r="J148" i="1"/>
  <c r="J147" i="1"/>
  <c r="J146" i="1"/>
  <c r="J145" i="1"/>
  <c r="J144" i="1"/>
  <c r="J143" i="1"/>
  <c r="J142" i="1"/>
  <c r="J141" i="1"/>
  <c r="J140" i="1"/>
  <c r="J139" i="1"/>
  <c r="J154" i="1" l="1"/>
</calcChain>
</file>

<file path=xl/sharedStrings.xml><?xml version="1.0" encoding="utf-8"?>
<sst xmlns="http://schemas.openxmlformats.org/spreadsheetml/2006/main" count="500" uniqueCount="413">
  <si>
    <t>Centrale Operativa</t>
  </si>
  <si>
    <t xml:space="preserve"> SUEM 118 Venezia</t>
  </si>
  <si>
    <t>PIANO SANITARIO</t>
  </si>
  <si>
    <t>PER ASSISTENZA A EVENTI E MANIFESTAZIONI</t>
  </si>
  <si>
    <t>Formato unico riconosciuto dalla C.O. SUEM 118 Venezia</t>
  </si>
  <si>
    <t>Titolo evento</t>
  </si>
  <si>
    <t>Data/e svolgimento</t>
  </si>
  <si>
    <t>Orario svolgimento</t>
  </si>
  <si>
    <t>Sede Svolgimento</t>
  </si>
  <si>
    <t>Il responsabile/coordinatore dell’assistenza sanitaria è</t>
  </si>
  <si>
    <t>Cognome e Nome</t>
  </si>
  <si>
    <t>Cell.</t>
  </si>
  <si>
    <r>
      <rPr>
        <b/>
        <sz val="11"/>
        <color rgb="FF000000"/>
        <rFont val="Calibri"/>
        <family val="2"/>
      </rPr>
      <t>1.</t>
    </r>
    <r>
      <rPr>
        <b/>
        <sz val="7"/>
        <color rgb="FF000000"/>
        <rFont val="Times New Roman"/>
        <family val="1"/>
      </rPr>
      <t xml:space="preserve">       </t>
    </r>
    <r>
      <rPr>
        <b/>
        <sz val="11"/>
        <color rgb="FF000000"/>
        <rFont val="Calibri"/>
        <family val="2"/>
      </rPr>
      <t>Dati ente/associazione proponente piano sanitario</t>
    </r>
  </si>
  <si>
    <t>Ente/Associazione</t>
  </si>
  <si>
    <t>Indirizzo</t>
  </si>
  <si>
    <t>C.F. e P.IVA</t>
  </si>
  <si>
    <t>Sede locale</t>
  </si>
  <si>
    <t>Indirizzo sede loc.</t>
  </si>
  <si>
    <t>Referente stesura piano sanit.</t>
  </si>
  <si>
    <t>Telefono</t>
  </si>
  <si>
    <t>Email</t>
  </si>
  <si>
    <t>Fax</t>
  </si>
  <si>
    <t>Altro</t>
  </si>
  <si>
    <r>
      <rPr>
        <b/>
        <sz val="11"/>
        <color rgb="FF000000"/>
        <rFont val="Calibri"/>
        <family val="2"/>
      </rPr>
      <t>2.</t>
    </r>
    <r>
      <rPr>
        <b/>
        <sz val="7"/>
        <color rgb="FF000000"/>
        <rFont val="Times New Roman"/>
        <family val="1"/>
      </rPr>
      <t xml:space="preserve">       </t>
    </r>
    <r>
      <rPr>
        <b/>
        <sz val="11"/>
        <color rgb="FF000000"/>
        <rFont val="Calibri"/>
        <family val="2"/>
      </rPr>
      <t>Dati organizzatore dell’evento</t>
    </r>
  </si>
  <si>
    <t>Organizzatore</t>
  </si>
  <si>
    <t>Codice Fiscale</t>
  </si>
  <si>
    <t>Recapito telefonico</t>
  </si>
  <si>
    <t>Cell. responsabile</t>
  </si>
  <si>
    <t>3. Descrizione sintetica dell’evento (se sportiva specificare tipologia e categoria, rilievo locale-nazionale-intern.)</t>
  </si>
  <si>
    <t>Evento/manifestazione che comporta una modifica alla viabilità stradale?</t>
  </si>
  <si>
    <t>SI</t>
  </si>
  <si>
    <t>NO</t>
  </si>
  <si>
    <t>4. Valutazione dell’evento secondo i criteri standard per la definizione dei livelli di assistenza (CREU 59/2013)</t>
  </si>
  <si>
    <t>Tipo di evento</t>
  </si>
  <si>
    <t>Specifica</t>
  </si>
  <si>
    <t>Adempimento 
Organizzatori *</t>
  </si>
  <si>
    <t>Termine</t>
  </si>
  <si>
    <t>Adempimento 
CO SUEM ^</t>
  </si>
  <si>
    <t>Flaggare evento</t>
  </si>
  <si>
    <t>Raduni o Concerti</t>
  </si>
  <si>
    <t>&lt; 3000 partecipanti</t>
  </si>
  <si>
    <t>A</t>
  </si>
  <si>
    <t>3000 – 10000 partecipanti</t>
  </si>
  <si>
    <t>B</t>
  </si>
  <si>
    <t>30 gg</t>
  </si>
  <si>
    <t>10001 – 40000 partecipanti</t>
  </si>
  <si>
    <t>90 gg</t>
  </si>
  <si>
    <t>&gt; 40000 partecipanti</t>
  </si>
  <si>
    <t>C</t>
  </si>
  <si>
    <t>180 gg</t>
  </si>
  <si>
    <t>Air Show</t>
  </si>
  <si>
    <t>Qualsiasi</t>
  </si>
  <si>
    <t>B (C)</t>
  </si>
  <si>
    <t>60 gg</t>
  </si>
  <si>
    <t>Paracadutismo, parapendio, deltaplano</t>
  </si>
  <si>
    <t>Rilevanza locale</t>
  </si>
  <si>
    <t>Rilevanza nazionale / internazionale</t>
  </si>
  <si>
    <t>Corse auto/moto</t>
  </si>
  <si>
    <t>su circuito chiuso – rilevanza locale</t>
  </si>
  <si>
    <t>su circuito chiuso – rilevanza regionale o nazionale</t>
  </si>
  <si>
    <t>su strada: Rallies, Regolarità sport e Ronde, Velocità in salita</t>
  </si>
  <si>
    <r>
      <rPr>
        <sz val="10"/>
        <color rgb="FFFFFFFF"/>
        <rFont val="Calibri"/>
        <family val="2"/>
      </rPr>
      <t>Altre su strada</t>
    </r>
    <r>
      <rPr>
        <sz val="8"/>
        <color rgb="FFFFFFFF"/>
        <rFont val="Calibri"/>
        <family val="2"/>
      </rPr>
      <t xml:space="preserve"> (slalom, mini slalom, twin slalom, formula challange, velocità su terra, velocità su ghiaccio, velocità fuoristrada, gare di accelerazione, competizioni miste di regolarità e velocità)</t>
    </r>
  </si>
  <si>
    <t>Gare ciclistiche</t>
  </si>
  <si>
    <t>ambito provinciale</t>
  </si>
  <si>
    <t>10 gg</t>
  </si>
  <si>
    <t>ambito regionale / nazionale</t>
  </si>
  <si>
    <t>Oltre 200 atleti</t>
  </si>
  <si>
    <t>Mountain-bike in ambiente impervio</t>
  </si>
  <si>
    <t>Gare podistiche</t>
  </si>
  <si>
    <t>&lt; 1000 partecipanti</t>
  </si>
  <si>
    <t>1000 – 5000 partecipanti</t>
  </si>
  <si>
    <t>&gt; 5000 partecipanti</t>
  </si>
  <si>
    <t>Motonautica</t>
  </si>
  <si>
    <t>&gt; 5000 spettatori o Evento internazionale</t>
  </si>
  <si>
    <t>Vela, Windsurf, Canotaggio</t>
  </si>
  <si>
    <t>Rilevanza nazionale</t>
  </si>
  <si>
    <t>Calcio</t>
  </si>
  <si>
    <t>Serie A – B</t>
  </si>
  <si>
    <t>C (GOS)</t>
  </si>
  <si>
    <t>inizio stagione</t>
  </si>
  <si>
    <t>3 (GOS)</t>
  </si>
  <si>
    <t>Serie C ed inferiori</t>
  </si>
  <si>
    <t>Altri sport di squadra</t>
  </si>
  <si>
    <t>Eventi di rilievo nazionale</t>
  </si>
  <si>
    <t>Qualsiasi altra</t>
  </si>
  <si>
    <t>Manifestazioni sportive internazionali</t>
  </si>
  <si>
    <t>120 gg</t>
  </si>
  <si>
    <t>Eventi segnalati a rischio dalle autorità competenti</t>
  </si>
  <si>
    <t>Appena possibile</t>
  </si>
  <si>
    <t>* Adempimenti organizzatore - TAB. 2</t>
  </si>
  <si>
    <t>All'inizio della manifestazione comunicazione alla CO:
- numero e tipologia dei mezzi in servizio
- identificativo radio e/o recapito telefonico</t>
  </si>
  <si>
    <t>Invio all CO del piano di assistenza sanitaria</t>
  </si>
  <si>
    <t>Coinvolgimento della CO nella fase di stesura del piano</t>
  </si>
  <si>
    <t>^  Competenza della CO - TAB. 3</t>
  </si>
  <si>
    <t>Nessuna</t>
  </si>
  <si>
    <t>Vidimazione del piano con eventuali prescrizioni</t>
  </si>
  <si>
    <t>Come 1 con valutazione eventuale personale SUEM in loco</t>
  </si>
  <si>
    <t>Come 1 con personale SUEM di coordinamento in loco</t>
  </si>
  <si>
    <t>5. Valutazione del rischio dell’evento</t>
  </si>
  <si>
    <t xml:space="preserve">N° partecipanti all’evento </t>
  </si>
  <si>
    <t xml:space="preserve">N° partecipanti delle categorie fragili </t>
  </si>
  <si>
    <t>Atleti</t>
  </si>
  <si>
    <t>nr.</t>
  </si>
  <si>
    <t>Pubblico</t>
  </si>
  <si>
    <t>Bambini</t>
  </si>
  <si>
    <t>Anziani</t>
  </si>
  <si>
    <t>Disabili</t>
  </si>
  <si>
    <t>Caratteristiche del luogo</t>
  </si>
  <si>
    <t>Chiuso</t>
  </si>
  <si>
    <t>Aperto</t>
  </si>
  <si>
    <t>Percorso isolato</t>
  </si>
  <si>
    <t>Strada</t>
  </si>
  <si>
    <t>Tempistiche</t>
  </si>
  <si>
    <t>Durata dell’evento</t>
  </si>
  <si>
    <t>Pausa prevista</t>
  </si>
  <si>
    <t>Variabili legate all'evento</t>
  </si>
  <si>
    <t>punt.</t>
  </si>
  <si>
    <t>Ogni quanto si verifica l'evento</t>
  </si>
  <si>
    <t xml:space="preserve">Annualmente </t>
  </si>
  <si>
    <t>Mensilmente</t>
  </si>
  <si>
    <t>Tutti i giorni</t>
  </si>
  <si>
    <t>Occasionalmente/all'improvviso</t>
  </si>
  <si>
    <t>Religioso</t>
  </si>
  <si>
    <t>Sportivo</t>
  </si>
  <si>
    <t>Intrattenimento</t>
  </si>
  <si>
    <t xml:space="preserve">Politico,sociale </t>
  </si>
  <si>
    <t>Concerto pop/rock</t>
  </si>
  <si>
    <t>Altre variabili (più scelte)</t>
  </si>
  <si>
    <t>Prevista vendita/consumo di alcool</t>
  </si>
  <si>
    <t>Possibile consumo di droghe</t>
  </si>
  <si>
    <t>Presenza di categorie deboli (bambini, anziani,disabili)</t>
  </si>
  <si>
    <t>Evento ampiamente pubblicizzato dai media</t>
  </si>
  <si>
    <t>Presenza di figure politiche-religiose</t>
  </si>
  <si>
    <t>Possibili difficoltà nella viabilità</t>
  </si>
  <si>
    <t>Presenza di tensioni socio-politiche</t>
  </si>
  <si>
    <t>Durata</t>
  </si>
  <si>
    <t>&lt;12 ore</t>
  </si>
  <si>
    <t>da 12 h a 3 giorni</t>
  </si>
  <si>
    <t>&gt; 3 giorni</t>
  </si>
  <si>
    <t>Dove si verifica (più scelte)</t>
  </si>
  <si>
    <t>In città</t>
  </si>
  <si>
    <t>In periferia/paesi o piccoli centri urbani</t>
  </si>
  <si>
    <t>In ambiente acquatico (lago,fiume,mare,piscina)</t>
  </si>
  <si>
    <t>Altro (montano,impervio,ambiente rurale)</t>
  </si>
  <si>
    <t>Caratteristiche del luogo 
(più scelte)</t>
  </si>
  <si>
    <t>Al coperto</t>
  </si>
  <si>
    <t>All'aperto</t>
  </si>
  <si>
    <t>Localizzato e ben definito</t>
  </si>
  <si>
    <t>Esteso&gt; 1 campo di calcio</t>
  </si>
  <si>
    <t>Non delimitato da recinzioni</t>
  </si>
  <si>
    <t>Delimitato da recinzioni</t>
  </si>
  <si>
    <t>Presenza di scale in entrata e/o in uscita</t>
  </si>
  <si>
    <t>Recinzioni temporanee</t>
  </si>
  <si>
    <t>Ponteggio temporaneo, palco, coperture</t>
  </si>
  <si>
    <t>Logistica del posto 
(più scelte)</t>
  </si>
  <si>
    <t>Servizi igienici disponibili</t>
  </si>
  <si>
    <t>Disponibilità d'acqua</t>
  </si>
  <si>
    <t>Punto di ristoro</t>
  </si>
  <si>
    <t>Variabili legate al pubblico</t>
  </si>
  <si>
    <t>Stima dei partecipanti</t>
  </si>
  <si>
    <t>&lt; 25.000</t>
  </si>
  <si>
    <t>25.000- 100.000</t>
  </si>
  <si>
    <t>100.000-500.000</t>
  </si>
  <si>
    <t>&gt;500.000</t>
  </si>
  <si>
    <t>Età prevalente</t>
  </si>
  <si>
    <t>compresa tra 25 e 65</t>
  </si>
  <si>
    <t>meno di 25 oppure sopra i 65</t>
  </si>
  <si>
    <t>Densità per m2</t>
  </si>
  <si>
    <r>
      <rPr>
        <sz val="10"/>
        <color rgb="FF000000"/>
        <rFont val="Tahoma"/>
        <family val="2"/>
      </rPr>
      <t>Bassa      1-2 persone/m</t>
    </r>
    <r>
      <rPr>
        <vertAlign val="superscript"/>
        <sz val="10"/>
        <color rgb="FF000000"/>
        <rFont val="Tahoma"/>
        <family val="2"/>
      </rPr>
      <t>2</t>
    </r>
  </si>
  <si>
    <r>
      <rPr>
        <sz val="10"/>
        <color rgb="FF000000"/>
        <rFont val="Tahoma"/>
        <family val="2"/>
      </rPr>
      <t>Media       3-4 persone/m</t>
    </r>
    <r>
      <rPr>
        <vertAlign val="superscript"/>
        <sz val="10"/>
        <color rgb="FF000000"/>
        <rFont val="Tahoma"/>
        <family val="2"/>
      </rPr>
      <t>2</t>
    </r>
  </si>
  <si>
    <r>
      <rPr>
        <sz val="10"/>
        <color rgb="FF000000"/>
        <rFont val="Tahoma"/>
        <family val="2"/>
      </rPr>
      <t>Alta           4-8 persone/m</t>
    </r>
    <r>
      <rPr>
        <vertAlign val="superscript"/>
        <sz val="10"/>
        <color rgb="FF000000"/>
        <rFont val="Tahoma"/>
        <family val="2"/>
      </rPr>
      <t>2</t>
    </r>
  </si>
  <si>
    <r>
      <rPr>
        <sz val="10"/>
        <color rgb="FF000000"/>
        <rFont val="Tahoma"/>
        <family val="2"/>
      </rPr>
      <t>Estrema    &gt; 8 persone/m</t>
    </r>
    <r>
      <rPr>
        <vertAlign val="superscript"/>
        <sz val="10"/>
        <color rgb="FF000000"/>
        <rFont val="Tahoma"/>
        <family val="2"/>
      </rPr>
      <t>2</t>
    </r>
  </si>
  <si>
    <t>Condizione dei partecipanti</t>
  </si>
  <si>
    <t>Rilassato</t>
  </si>
  <si>
    <t xml:space="preserve">Eccitato </t>
  </si>
  <si>
    <t>Aggressivo</t>
  </si>
  <si>
    <t>Posizione</t>
  </si>
  <si>
    <t>Seduti</t>
  </si>
  <si>
    <t>In parte seduti</t>
  </si>
  <si>
    <t>In piedi</t>
  </si>
  <si>
    <t>Score totale</t>
  </si>
  <si>
    <t>Livello di rischio</t>
  </si>
  <si>
    <t>Punteggio</t>
  </si>
  <si>
    <t>Rischio molto basso / basso</t>
  </si>
  <si>
    <t>&lt;18</t>
  </si>
  <si>
    <t>Rischio moderato / elevato</t>
  </si>
  <si>
    <t>18-36</t>
  </si>
  <si>
    <t>Rischio molto elevato</t>
  </si>
  <si>
    <t>37-55</t>
  </si>
  <si>
    <t>6. Calcolo delle risorse da dedicare all’evento</t>
  </si>
  <si>
    <t>Calcolare l’algoritmo di Mauer per definire il livello minimo di assistenza necessaria.</t>
  </si>
  <si>
    <t>ALGORITMO DI MAURER</t>
  </si>
  <si>
    <t>NUMERO DI VISITATORI MASSIMO CONSENTITO (capienza del luogo della   manifestazione)</t>
  </si>
  <si>
    <t>NUMERO DI VISITATORI EFFETTIVAMENTE PREVISTO</t>
  </si>
  <si>
    <t xml:space="preserve">fino a  500  </t>
  </si>
  <si>
    <t>visitatori</t>
  </si>
  <si>
    <t>1 punto</t>
  </si>
  <si>
    <t>2 punti</t>
  </si>
  <si>
    <t>In base al numero dei biglietti venduti, alle precedenti esperienze di manifestazioni analoghe, o in base alla superficie libera disponibile (valore di riferimento 2 visitatori/mq) è possibile risalire al numero effettivo di presenze previste</t>
  </si>
  <si>
    <t>3 punti</t>
  </si>
  <si>
    <t>4 punti</t>
  </si>
  <si>
    <t>5 punti</t>
  </si>
  <si>
    <t>6 punti</t>
  </si>
  <si>
    <t>7 punti</t>
  </si>
  <si>
    <t>Ogni 500 visitatori viene dato 1 punto</t>
  </si>
  <si>
    <t>1 punto per ulteriori 10000</t>
  </si>
  <si>
    <t>1b: MANIFESTAZIONE AL CHIUSO ----&gt; PUNTEGGIO OTTENUTO X2</t>
  </si>
  <si>
    <t>TIPO DI MANIFESTAZIONE</t>
  </si>
  <si>
    <t>PRESENZA DI PERSONALITÀ</t>
  </si>
  <si>
    <t>Ogni manifestazione ha un rischio intrinseco legato alle attività in essa previste:</t>
  </si>
  <si>
    <t>Nel caso in cui la manifestazione preveda la partecipazione di personalità si considerano 10 punti  ogni 5 personalità presenti o previste</t>
  </si>
  <si>
    <t>tipo di manifestazione</t>
  </si>
  <si>
    <t>fattore di moltiplicazione</t>
  </si>
  <si>
    <t>Manifestazione sportiva generica</t>
  </si>
  <si>
    <t>POSSIBILI PROBLEMI DI ORDINE PUBBLICO</t>
  </si>
  <si>
    <t>Esposizione</t>
  </si>
  <si>
    <t>Se in base ad informative delle forze dell’Ordine relative ai partecipanti alla manifestazione è da prevedere un rischio legato a fenomeni di violenza o di disordine saranno inoltre da conteggiare altri 10 punti</t>
  </si>
  <si>
    <t>Bazar</t>
  </si>
  <si>
    <t>Dimostrazione o Corteo</t>
  </si>
  <si>
    <t>Fuochi d’artificio</t>
  </si>
  <si>
    <t>Mercatino delle pulci o di Natale</t>
  </si>
  <si>
    <t>Airshow</t>
  </si>
  <si>
    <t xml:space="preserve">1. i punti relativi al numero di visitatori consentito ed effettivo vanno sommati tra loro </t>
  </si>
  <si>
    <t>Carnevale</t>
  </si>
  <si>
    <t>Mista (Sport+Musica+Show)</t>
  </si>
  <si>
    <t>Concerto</t>
  </si>
  <si>
    <r>
      <rPr>
        <b/>
        <sz val="10"/>
        <color rgb="FF000000"/>
        <rFont val="Calibri"/>
        <family val="2"/>
      </rPr>
      <t>2.</t>
    </r>
    <r>
      <rPr>
        <b/>
        <sz val="7"/>
        <color rgb="FF000000"/>
        <rFont val="Times New Roman"/>
        <family val="1"/>
      </rPr>
      <t xml:space="preserve">   </t>
    </r>
    <r>
      <rPr>
        <b/>
        <sz val="10"/>
        <color rgb="FF000000"/>
        <rFont val="Calibri"/>
        <family val="2"/>
      </rPr>
      <t>Il risultato va moltiplicato per il fattore moltiplicativo relativo al tipo di   Manifestazione</t>
    </r>
  </si>
  <si>
    <t>Comizio</t>
  </si>
  <si>
    <t>Gara Auto/Motociclistica</t>
  </si>
  <si>
    <t>Manifestazione Musicale</t>
  </si>
  <si>
    <r>
      <rPr>
        <b/>
        <sz val="10"/>
        <color rgb="FF000000"/>
        <rFont val="Calibri"/>
        <family val="2"/>
      </rPr>
      <t>3.</t>
    </r>
    <r>
      <rPr>
        <b/>
        <sz val="7"/>
        <color rgb="FF000000"/>
        <rFont val="Times New Roman"/>
        <family val="1"/>
      </rPr>
      <t xml:space="preserve">   </t>
    </r>
    <r>
      <rPr>
        <b/>
        <sz val="10"/>
        <color rgb="FF000000"/>
        <rFont val="Calibri"/>
        <family val="2"/>
      </rPr>
      <t>I punteggi relativi alla presenza di personalità o problematiche di ordine  pubblico vanno sommati al risultato ottenuto</t>
    </r>
  </si>
  <si>
    <t>Opera</t>
  </si>
  <si>
    <t>Gara Ciclistica</t>
  </si>
  <si>
    <t>Equitazione</t>
  </si>
  <si>
    <r>
      <rPr>
        <b/>
        <sz val="10"/>
        <color rgb="FF000000"/>
        <rFont val="Calibri"/>
        <family val="2"/>
      </rPr>
      <t>4.</t>
    </r>
    <r>
      <rPr>
        <b/>
        <sz val="7"/>
        <color rgb="FF000000"/>
        <rFont val="Times New Roman"/>
        <family val="1"/>
      </rPr>
      <t xml:space="preserve">   </t>
    </r>
    <r>
      <rPr>
        <b/>
        <sz val="10"/>
        <color rgb="FF000000"/>
        <rFont val="Calibri"/>
        <family val="2"/>
      </rPr>
      <t>Il punteggio risultante identifica il rischio totale della manifestazione</t>
    </r>
  </si>
  <si>
    <t>Concerto Rock</t>
  </si>
  <si>
    <t>Rappresentazione Teatrale</t>
  </si>
  <si>
    <t>Show - parata</t>
  </si>
  <si>
    <t>CALCOLO AUTOMATICO</t>
  </si>
  <si>
    <t>Festa di quartiere o di strada</t>
  </si>
  <si>
    <t>1a. Persone consentite</t>
  </si>
  <si>
    <t>Spettacolo di Danza</t>
  </si>
  <si>
    <t>1b. Manifestazione al chiuso</t>
  </si>
  <si>
    <t>Festa Folkloristica</t>
  </si>
  <si>
    <t>2. Persone attese</t>
  </si>
  <si>
    <t>Fiera</t>
  </si>
  <si>
    <t>3. Fattore di moltiplicazione</t>
  </si>
  <si>
    <t>Gara di Fondo</t>
  </si>
  <si>
    <t>4. Personalità attese</t>
  </si>
  <si>
    <t>5. Problemi ordine pubblico</t>
  </si>
  <si>
    <t>Indice di Maurer</t>
  </si>
  <si>
    <t>Ambulanze da soccorso</t>
  </si>
  <si>
    <t>Ambulanze da trasporto</t>
  </si>
  <si>
    <t>Team di Soccorritori a piedi</t>
  </si>
  <si>
    <t>punteggio</t>
  </si>
  <si>
    <t>Amb. socc</t>
  </si>
  <si>
    <t>Amb. trasp</t>
  </si>
  <si>
    <t>soccorritori</t>
  </si>
  <si>
    <t>0,1 – 6.0</t>
  </si>
  <si>
    <t>0,1 – 4,0</t>
  </si>
  <si>
    <t>0,1 – 2.0</t>
  </si>
  <si>
    <t>6,1 – 25,5</t>
  </si>
  <si>
    <t>4,1 – 13,0</t>
  </si>
  <si>
    <t>2,1 – 4,0</t>
  </si>
  <si>
    <t>25,6 – 45,5</t>
  </si>
  <si>
    <t>13,1 – 25,0</t>
  </si>
  <si>
    <t>4,1 – 13,5</t>
  </si>
  <si>
    <t>45,6 – 60,5</t>
  </si>
  <si>
    <t>25,1 – 40,0</t>
  </si>
  <si>
    <t>13,6 – 22,0</t>
  </si>
  <si>
    <t>60,6 – 75,5</t>
  </si>
  <si>
    <t>40,1 – 60,0</t>
  </si>
  <si>
    <t>22,1 – 40,0</t>
  </si>
  <si>
    <t>75,6 – 100,0</t>
  </si>
  <si>
    <t>60,1 – 60,0</t>
  </si>
  <si>
    <t>&gt;  100,1</t>
  </si>
  <si>
    <t>80,1 – 100,0</t>
  </si>
  <si>
    <t>60,1 – 80,0</t>
  </si>
  <si>
    <t>100,1 – 120,0</t>
  </si>
  <si>
    <t>Mezzi o unità medicalizzate</t>
  </si>
  <si>
    <t>medici</t>
  </si>
  <si>
    <t>0,1 – 13,0</t>
  </si>
  <si>
    <t>13,1 – 30,0</t>
  </si>
  <si>
    <t>30,1 – 60,0</t>
  </si>
  <si>
    <t>60,1 – 90,0</t>
  </si>
  <si>
    <t>&gt; 90,1</t>
  </si>
  <si>
    <t>7. Organizzazione delle risorse dell’evento</t>
  </si>
  <si>
    <t>DESCRIZIONE</t>
  </si>
  <si>
    <t>Q.TA’</t>
  </si>
  <si>
    <t>CARATTERISTICHE</t>
  </si>
  <si>
    <t>AMBULANZE</t>
  </si>
  <si>
    <t>CON MEDICO</t>
  </si>
  <si>
    <t>CON INFERMIERE</t>
  </si>
  <si>
    <t>CON DAE</t>
  </si>
  <si>
    <t>SQUADRE A PIEDI</t>
  </si>
  <si>
    <t>POSTO MEDICO AVANZATO</t>
  </si>
  <si>
    <t xml:space="preserve">Figure all'interno: </t>
  </si>
  <si>
    <t>POSTO SOCCORSO MEDICO</t>
  </si>
  <si>
    <t>POSTO DI COMANDO</t>
  </si>
  <si>
    <t>ALTRI MEZZI</t>
  </si>
  <si>
    <t>EVENTUALI ALTRE RISORSE ATTIVATE:</t>
  </si>
  <si>
    <t>Protezione Civile</t>
  </si>
  <si>
    <t>Vigili del Fuoco</t>
  </si>
  <si>
    <t>SUEM</t>
  </si>
  <si>
    <t>Forze dell’ordine</t>
  </si>
  <si>
    <t>SINTESI RISORSE DISPONIBILI</t>
  </si>
  <si>
    <t>DATA</t>
  </si>
  <si>
    <t>ORARIO</t>
  </si>
  <si>
    <t>NOMINATIVO</t>
  </si>
  <si>
    <t>EQUIPAGGIO*               (ALS-M/ALS-I/BLS)</t>
  </si>
  <si>
    <t>AMBULANZA o SAP</t>
  </si>
  <si>
    <t>RIFERIMENTO TELEFONICO</t>
  </si>
  <si>
    <t>*ALS M: squadra/mezzo medicalizzato</t>
  </si>
  <si>
    <t xml:space="preserve">  ALS I: squadra/mezzo infermierizzato</t>
  </si>
  <si>
    <t xml:space="preserve">  BLS: squadra/mezzo con soccorritori</t>
  </si>
  <si>
    <r>
      <rPr>
        <b/>
        <sz val="11"/>
        <color rgb="FF000000"/>
        <rFont val="Calibri"/>
        <family val="2"/>
      </rPr>
      <t>8.</t>
    </r>
    <r>
      <rPr>
        <b/>
        <sz val="7"/>
        <color rgb="FF000000"/>
        <rFont val="Times New Roman"/>
        <family val="1"/>
      </rPr>
      <t xml:space="preserve">       </t>
    </r>
    <r>
      <rPr>
        <b/>
        <sz val="11"/>
        <color rgb="FF000000"/>
        <rFont val="Calibri"/>
        <family val="2"/>
      </rPr>
      <t>Previsione piani di sicurezza/evacuazione</t>
    </r>
  </si>
  <si>
    <t>Sono stati individuate vie di accesso dedicate ai mezzi di soccorso</t>
  </si>
  <si>
    <t>Sono state individuate vie di fuga sempre libere per evacuazione feriti</t>
  </si>
  <si>
    <t>Sono stati individuati punti di raccolta/trattamento per i feriti</t>
  </si>
  <si>
    <t>Viene garantita una viabilità dedicata ai mezzi di soccorso</t>
  </si>
  <si>
    <r>
      <rPr>
        <b/>
        <sz val="11"/>
        <color rgb="FF000000"/>
        <rFont val="Calibri"/>
        <family val="2"/>
      </rPr>
      <t>9.</t>
    </r>
    <r>
      <rPr>
        <b/>
        <sz val="7"/>
        <color rgb="FF000000"/>
        <rFont val="Times New Roman"/>
        <family val="1"/>
      </rPr>
      <t xml:space="preserve">       </t>
    </r>
    <r>
      <rPr>
        <b/>
        <sz val="11"/>
        <color rgb="FF000000"/>
        <rFont val="Calibri"/>
        <family val="2"/>
      </rPr>
      <t>Strutture di riferimento</t>
    </r>
  </si>
  <si>
    <t>Nominativo ospedale</t>
  </si>
  <si>
    <t>Distanza dal luogo</t>
  </si>
  <si>
    <t>Ospedale di riferimento</t>
  </si>
  <si>
    <r>
      <rPr>
        <b/>
        <sz val="11"/>
        <color rgb="FF000000"/>
        <rFont val="Calibri"/>
        <family val="2"/>
      </rPr>
      <t>10.</t>
    </r>
    <r>
      <rPr>
        <b/>
        <sz val="7"/>
        <color rgb="FF000000"/>
        <rFont val="Times New Roman"/>
        <family val="1"/>
      </rPr>
      <t xml:space="preserve">       </t>
    </r>
    <r>
      <rPr>
        <b/>
        <sz val="11"/>
        <color rgb="FF000000"/>
        <rFont val="Calibri"/>
        <family val="2"/>
      </rPr>
      <t>Protocolli operativi del Piano Sanitario</t>
    </r>
  </si>
  <si>
    <t>Inizio operatività</t>
  </si>
  <si>
    <r>
      <rPr>
        <sz val="11"/>
        <color rgb="FF000000"/>
        <rFont val="Calibri"/>
        <family val="2"/>
      </rPr>
      <t xml:space="preserve">Circa </t>
    </r>
    <r>
      <rPr>
        <b/>
        <sz val="11"/>
        <color rgb="FF000000"/>
        <rFont val="Calibri"/>
        <family val="2"/>
      </rPr>
      <t>15’</t>
    </r>
    <r>
      <rPr>
        <sz val="11"/>
        <color rgb="FF000000"/>
        <rFont val="Calibri"/>
        <family val="2"/>
      </rPr>
      <t xml:space="preserve"> prima dell’orario di inizio della manifestazione il responsabile dell’assistenza contatta la C.O. 118 di Venezia al numero verde </t>
    </r>
    <r>
      <rPr>
        <b/>
        <sz val="11"/>
        <color rgb="FF000000"/>
        <rFont val="Calibri"/>
        <family val="2"/>
      </rPr>
      <t>800014184</t>
    </r>
    <r>
      <rPr>
        <sz val="11"/>
        <color rgb="FF000000"/>
        <rFont val="Calibri"/>
        <family val="2"/>
      </rPr>
      <t xml:space="preserve">  comunicando l’inizio operatività e confermando:</t>
    </r>
  </si>
  <si>
    <r>
      <rPr>
        <sz val="11"/>
        <color rgb="FF000000"/>
        <rFont val="Noto Sans Symbols"/>
        <charset val="1"/>
      </rPr>
      <t>·</t>
    </r>
    <r>
      <rPr>
        <sz val="7"/>
        <color rgb="FF000000"/>
        <rFont val="Times New Roman"/>
        <family val="1"/>
      </rPr>
      <t xml:space="preserve">         </t>
    </r>
    <r>
      <rPr>
        <sz val="11"/>
        <color rgb="FF000000"/>
        <rFont val="Calibri"/>
        <family val="2"/>
      </rPr>
      <t>numero mezzi di soccorso/strutture/operatori impegnati</t>
    </r>
  </si>
  <si>
    <r>
      <rPr>
        <sz val="11"/>
        <color rgb="FF000000"/>
        <rFont val="Noto Sans Symbols"/>
        <charset val="1"/>
      </rPr>
      <t>·</t>
    </r>
    <r>
      <rPr>
        <sz val="7"/>
        <color rgb="FF000000"/>
        <rFont val="Times New Roman"/>
        <family val="1"/>
      </rPr>
      <t xml:space="preserve">         </t>
    </r>
    <r>
      <rPr>
        <sz val="11"/>
        <color rgb="FF000000"/>
        <rFont val="Calibri"/>
        <family val="2"/>
      </rPr>
      <t>riferimenti telefonici</t>
    </r>
  </si>
  <si>
    <r>
      <rPr>
        <sz val="11"/>
        <color rgb="FF000000"/>
        <rFont val="Noto Sans Symbols"/>
        <charset val="1"/>
      </rPr>
      <t>·</t>
    </r>
    <r>
      <rPr>
        <sz val="7"/>
        <color rgb="FF000000"/>
        <rFont val="Times New Roman"/>
        <family val="1"/>
      </rPr>
      <t xml:space="preserve">         </t>
    </r>
    <r>
      <rPr>
        <sz val="11"/>
        <color rgb="FF000000"/>
        <rFont val="Calibri"/>
        <family val="2"/>
      </rPr>
      <t>eventuali riferimenti radio</t>
    </r>
  </si>
  <si>
    <t>Comando e Controllo</t>
  </si>
  <si>
    <t>Il coordinamento locale dei soccorsi è gestito da</t>
  </si>
  <si>
    <r>
      <rPr>
        <b/>
        <i/>
        <sz val="11"/>
        <color rgb="FF000000"/>
        <rFont val="Calibri"/>
        <family val="2"/>
      </rPr>
      <t xml:space="preserve">SE NON PRESENTE UN COMANDO IN LOCO
</t>
    </r>
    <r>
      <rPr>
        <sz val="11"/>
        <color rgb="FF000000"/>
        <rFont val="Calibri"/>
        <family val="2"/>
      </rPr>
      <t xml:space="preserve">Le funzioni di comando e controllo sono svolte dalla CO SUEM 118 di Venezia che per la gestione degli interventi si avvale delle risorse dedicate all’evento. </t>
    </r>
  </si>
  <si>
    <r>
      <rPr>
        <b/>
        <i/>
        <sz val="11"/>
        <color rgb="FF000000"/>
        <rFont val="Calibri"/>
        <family val="2"/>
      </rPr>
      <t xml:space="preserve">SE PRESENTE UN COMANDO IN LOCO
</t>
    </r>
    <r>
      <rPr>
        <sz val="11"/>
        <color rgb="FF000000"/>
        <rFont val="Calibri"/>
        <family val="2"/>
      </rPr>
      <t>Il coordinamento locale dei soccorsi e le relazioni con la centrale operativa 118 sono gestiti dal personale presente nel punto di comando. Se l’intervento lo richiede, verrà attivata la C.O.P. 118 che coordinerà i soccorsi e la centralizzazione dei feriti. Sarà compito del COMANDO prendere contatto in loco con i responsabili degli altri enti organizzatori e di assistenza intervenuti.</t>
    </r>
  </si>
  <si>
    <t>Le attivazioni delle operazioni di soccorso durante l’assistenza vengono comunicate direttamente al responsabile/coordinatore che provvede alla gestione del soccorso. Se l’intervento lo richiede verrà attivata la C.O.P. 118 che coordinerà i soccorsi e l’ospedalizzazione dei feriti. Sarà compito del responsabile/coordinatore prendere contatto in loco con i responsabili degli altri enti organizzatori e di assistenza intervenuti.</t>
  </si>
  <si>
    <t>Sicurezza</t>
  </si>
  <si>
    <t>Tutti gli operatori devono indossare la divisa d’ordine ed indossare i DPI nell’approccio alle vittime. Qualsiasi situazione a rischio dovrà essere comunicata al responsabile/coordinatore sanitario. In caso di problemi di ordine pubblico e per agevolare il trasporto delle vittime i soccorritori possono attivare la collaborazione delle forze dell’ordine presenti sulla scena.</t>
  </si>
  <si>
    <t>Comunicazioni</t>
  </si>
  <si>
    <t>Le richieste di soccorso derivanti dall’area dell’evento devono giungere al responsabile/coordinatore che attiverà le unità di soccorso di competenza. Nel caso di chiamate di soccorse giunte alla C.O.P. 118, la stessa trasmetterà le informazioni al responsabile/coordinatore per la gestione dell’intervento.</t>
  </si>
  <si>
    <t>Eventuali richieste di soccorso che arrivassero direttamente alle squadre di soccorso, saranno dalle stesse evase previa comunicazione al responsabile/coordinatore.</t>
  </si>
  <si>
    <t>Valutazione</t>
  </si>
  <si>
    <t>Per quanto tutti i rischi presenti nell’evento siano stati valutati in sede di predisposizione del piano, si ritiene necessario che nella realtà dei fatti, una volta giunti sul luogo, il responsabile/coordinatore esegua una valutazione dei rischi reali ed emergenti e, se evidenzia incongruenze con il presente piano, provveda a comunicarle ai soccorritori ed alla C.O.P. 118. Il trasporto al PS afferente deve essere garantito dai mezzi al servizio dell'evento salvo diversa decisione della CO SUEM 118.</t>
  </si>
  <si>
    <t>Triage</t>
  </si>
  <si>
    <t>In caso di interventi singoli i pazienti vengono valutati secondo i criteri ordinari ABCDE.</t>
  </si>
  <si>
    <t>In caso di più feriti il protocollo triage adottato è:</t>
  </si>
  <si>
    <t>SIEVE – sulla scena dell’incidente</t>
  </si>
  <si>
    <t>SORT – presso PSM e PMA.</t>
  </si>
  <si>
    <t>Nel caso in cui il numero dei codici sia superiore alle risorse di soccorso presenti, viene data comunicazione alla C.O.P. 118 mediante messaggio ILTiPANE per l’attivazione della procedura di incidente maggiore.</t>
  </si>
  <si>
    <t>I</t>
  </si>
  <si>
    <t>M</t>
  </si>
  <si>
    <t>Identificativo mezzo / Ente / 
nome e ruolo operatore
MAJOR INCIDENT</t>
  </si>
  <si>
    <t>Attendere o Dichiarato
 STANDBY o DECLARED</t>
  </si>
  <si>
    <t>L</t>
  </si>
  <si>
    <t>E</t>
  </si>
  <si>
    <t>Esatta Locazione</t>
  </si>
  <si>
    <t>Riferimento di griglia se possibile coordinate geografiche – riferimento con strutture riconoscibili</t>
  </si>
  <si>
    <t>Ti</t>
  </si>
  <si>
    <t>T</t>
  </si>
  <si>
    <t>Tipo incidente</t>
  </si>
  <si>
    <t>Stradale, autostradale, ferroviario, aereo, marittimo, industriale, …..</t>
  </si>
  <si>
    <t>P</t>
  </si>
  <si>
    <t>H</t>
  </si>
  <si>
    <t>Pericoli / Hazards</t>
  </si>
  <si>
    <t>Effettivi e potenziali 
Fumi, gas, esplosioni, crollo, …..</t>
  </si>
  <si>
    <t>Accesso</t>
  </si>
  <si>
    <t>Da che direzione arrivare e come andarsene dalla scena</t>
  </si>
  <si>
    <t>N</t>
  </si>
  <si>
    <t>Numero feriti</t>
  </si>
  <si>
    <t>Loro gravità e tipo
Identificare situazioni particolari (contaminati – ustionati - …)</t>
  </si>
  <si>
    <t>Servizi di Emergenza</t>
  </si>
  <si>
    <t>Presenti in loco e da richiedere</t>
  </si>
  <si>
    <t>Trattamento</t>
  </si>
  <si>
    <t>In base alla classificazione dei malori/delle ferite si provvede al seguente trattamento</t>
  </si>
  <si>
    <t>Classificazione</t>
  </si>
  <si>
    <t>Descrizione</t>
  </si>
  <si>
    <t>CODICE 1</t>
  </si>
  <si>
    <t>Escoriazioni, contusioni, ferite lievi, feriti in grado di camminare, piccoli malori</t>
  </si>
  <si>
    <t>Trattamento sul posto o presso PSM/PMA</t>
  </si>
  <si>
    <t>CODICE 2</t>
  </si>
  <si>
    <t>Traumi maggiori o malori senza compromissione dei parametri vitali</t>
  </si>
  <si>
    <t>Trattamento presso PSM/PMA, se attivati, o trasferimento al P.S. di riferimento in accordo con la C.O.P. 118</t>
  </si>
  <si>
    <t>CODICE 3</t>
  </si>
  <si>
    <t>Compromissione parametri vitali</t>
  </si>
  <si>
    <t>Stabilizzazione dei parametri vitali sul posto. In accordo con la C.O.P. 118 trasferimento presso l’ospedale più idoneo</t>
  </si>
  <si>
    <t>CODICE 4</t>
  </si>
  <si>
    <t>Paziente deceduto</t>
  </si>
  <si>
    <t>Nessun trattamento: attendere A.G. e comunicare l’evento alla C.O.P. 118</t>
  </si>
  <si>
    <t xml:space="preserve">Trasporto </t>
  </si>
  <si>
    <t>All’interno della manifestazione il trasporto dei pazienti/feriti avviene su coordinamento da parte del responsabile/coordinatore. In caso di trasferimento presso il pronto soccorso dell’ospedale di riferimento, la movimentazione dei mezzi viene coordinata dalla C.O.P. 118.</t>
  </si>
  <si>
    <r>
      <rPr>
        <b/>
        <sz val="11"/>
        <color rgb="FF000000"/>
        <rFont val="Calibri"/>
        <family val="2"/>
      </rPr>
      <t>11.</t>
    </r>
    <r>
      <rPr>
        <b/>
        <sz val="7"/>
        <color rgb="FF000000"/>
        <rFont val="Times New Roman"/>
        <family val="1"/>
      </rPr>
      <t xml:space="preserve">       </t>
    </r>
    <r>
      <rPr>
        <b/>
        <sz val="11"/>
        <color rgb="FF000000"/>
        <rFont val="Calibri"/>
        <family val="2"/>
      </rPr>
      <t>Allegati</t>
    </r>
  </si>
  <si>
    <r>
      <rPr>
        <sz val="11"/>
        <color rgb="FF000000"/>
        <rFont val="Calibri"/>
        <family val="2"/>
      </rPr>
      <t xml:space="preserve">Al presente piano vanno allegati </t>
    </r>
    <r>
      <rPr>
        <b/>
        <sz val="11"/>
        <color rgb="FF000000"/>
        <rFont val="Calibri"/>
        <family val="2"/>
      </rPr>
      <t>OBBLIGATORIAMENTE</t>
    </r>
    <r>
      <rPr>
        <sz val="11"/>
        <color rgb="FF000000"/>
        <rFont val="Calibri"/>
        <family val="2"/>
      </rPr>
      <t>:</t>
    </r>
  </si>
  <si>
    <r>
      <rPr>
        <sz val="12"/>
        <color rgb="FF000000"/>
        <rFont val="Times New Roman"/>
        <family val="1"/>
      </rPr>
      <t xml:space="preserve">1) </t>
    </r>
    <r>
      <rPr>
        <b/>
        <sz val="12"/>
        <color rgb="FF000000"/>
        <rFont val="Times New Roman"/>
        <family val="1"/>
      </rPr>
      <t>P</t>
    </r>
    <r>
      <rPr>
        <b/>
        <sz val="12"/>
        <color rgb="FF000000"/>
        <rFont val="Calibri"/>
        <family val="2"/>
      </rPr>
      <t>iantina dell’area dell’evento</t>
    </r>
    <r>
      <rPr>
        <sz val="12"/>
        <color rgb="FF000000"/>
        <rFont val="Calibri"/>
        <family val="2"/>
      </rPr>
      <t xml:space="preserve"> con indicazione della dislocazione dei mezzi di soccorso (compresi quelli non sanitari) e delle vie di accesso e fuga.</t>
    </r>
  </si>
  <si>
    <r>
      <rPr>
        <sz val="12"/>
        <color rgb="FF000000"/>
        <rFont val="Times New Roman"/>
        <family val="1"/>
      </rPr>
      <t xml:space="preserve">2) </t>
    </r>
    <r>
      <rPr>
        <b/>
        <sz val="12"/>
        <color rgb="FF000000"/>
        <rFont val="Calibri"/>
        <family val="2"/>
      </rPr>
      <t>Programma</t>
    </r>
    <r>
      <rPr>
        <sz val="12"/>
        <color rgb="FF000000"/>
        <rFont val="Calibri"/>
        <family val="2"/>
      </rPr>
      <t xml:space="preserve"> dettagliato dell’evento/della manifestazione</t>
    </r>
  </si>
  <si>
    <r>
      <rPr>
        <sz val="12"/>
        <color rgb="FF000000"/>
        <rFont val="Calibri"/>
        <family val="2"/>
      </rPr>
      <t xml:space="preserve">3) </t>
    </r>
    <r>
      <rPr>
        <b/>
        <sz val="12"/>
        <color rgb="FF000000"/>
        <rFont val="Calibri"/>
        <family val="2"/>
      </rPr>
      <t xml:space="preserve">Piantina con le modifiche della viabilità stradale </t>
    </r>
    <r>
      <rPr>
        <sz val="12"/>
        <color rgb="FF000000"/>
        <rFont val="Calibri"/>
        <family val="2"/>
      </rPr>
      <t>se previste</t>
    </r>
  </si>
  <si>
    <t>NOTE</t>
  </si>
  <si>
    <t xml:space="preserve">Data </t>
  </si>
  <si>
    <t>Il responsabile del Piano Sanitario</t>
  </si>
  <si>
    <t xml:space="preserve">Nominativo: </t>
  </si>
  <si>
    <t>FIRMA __________________________________</t>
  </si>
  <si>
    <t xml:space="preserve">Spazio riservato alla Centrale Operativa Provinciale 118 Venezia </t>
  </si>
  <si>
    <t>Ricevuto il</t>
  </si>
  <si>
    <t>Valutato da</t>
  </si>
  <si>
    <t>Piano Approvato</t>
  </si>
  <si>
    <r>
      <rPr>
        <sz val="11"/>
        <color rgb="FF000000"/>
        <rFont val="Calibri"/>
        <family val="2"/>
      </rPr>
      <t xml:space="preserve">SI </t>
    </r>
    <r>
      <rPr>
        <sz val="11"/>
        <color rgb="FF000000"/>
        <rFont val="Wingdings"/>
        <charset val="2"/>
      </rPr>
      <t>o</t>
    </r>
    <r>
      <rPr>
        <sz val="11"/>
        <color rgb="FF000000"/>
        <rFont val="Calibri"/>
        <family val="2"/>
      </rPr>
      <t xml:space="preserve"> </t>
    </r>
  </si>
  <si>
    <t>NO o</t>
  </si>
  <si>
    <t>o CON PRESCRIZIONI</t>
  </si>
  <si>
    <t>Prescrizioni/Integrazioni</t>
  </si>
  <si>
    <t>Data</t>
  </si>
  <si>
    <t>CROCE ROSSA ITALIANA - COMITATO DI VENEZIA ODV</t>
  </si>
  <si>
    <t>VIA PORTO DI CAVERGNAGO 38/B MESTRE (VE)</t>
  </si>
  <si>
    <t>DORIA DENIS</t>
  </si>
  <si>
    <t>041 982333</t>
  </si>
  <si>
    <t>venezia@cri.it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</si>
</sst>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9">
    <font>
      <sz val="11"/>
      <color rgb="FF000000"/>
      <name val="Calibri"/>
      <charset val="1"/>
    </font>
    <font>
      <i/>
      <sz val="2"/>
      <color rgb="FF000000"/>
      <name val="Calibri"/>
      <family val="2"/>
    </font>
    <font>
      <b/>
      <sz val="18"/>
      <color rgb="FF000000"/>
      <name val="Calibri"/>
      <family val="2"/>
    </font>
    <font>
      <sz val="12"/>
      <color rgb="FF000000"/>
      <name val="Calibri"/>
      <family val="2"/>
    </font>
    <font>
      <b/>
      <sz val="11"/>
      <color rgb="FF000000"/>
      <name val="Calibri"/>
      <family val="2"/>
    </font>
    <font>
      <b/>
      <i/>
      <sz val="11"/>
      <color rgb="FF000000"/>
      <name val="Calibri"/>
      <family val="2"/>
    </font>
    <font>
      <sz val="14"/>
      <color rgb="FF000000"/>
      <name val="Calibri"/>
      <family val="2"/>
    </font>
    <font>
      <b/>
      <sz val="7"/>
      <color rgb="FF000000"/>
      <name val="Times New Roman"/>
      <family val="1"/>
    </font>
    <font>
      <u/>
      <sz val="11"/>
      <color rgb="FF0000FF"/>
      <name val="Calibri"/>
      <family val="2"/>
    </font>
    <font>
      <b/>
      <sz val="10"/>
      <color rgb="FFFFFFFF"/>
      <name val="Calibri"/>
      <family val="2"/>
    </font>
    <font>
      <sz val="10"/>
      <color rgb="FF000000"/>
      <name val="Calibri"/>
      <family val="2"/>
    </font>
    <font>
      <sz val="10"/>
      <color rgb="FFFFFFFF"/>
      <name val="Calibri"/>
      <family val="2"/>
    </font>
    <font>
      <sz val="8"/>
      <color rgb="FFFFFFFF"/>
      <name val="Calibri"/>
      <family val="2"/>
    </font>
    <font>
      <sz val="11"/>
      <color rgb="FFFFFFFF"/>
      <name val="Calibri"/>
      <family val="2"/>
    </font>
    <font>
      <b/>
      <sz val="10"/>
      <color rgb="FF333399"/>
      <name val="Tahoma"/>
      <family val="2"/>
    </font>
    <font>
      <sz val="10"/>
      <color rgb="FF000000"/>
      <name val="Tahoma"/>
      <family val="2"/>
    </font>
    <font>
      <b/>
      <sz val="10"/>
      <color rgb="FF000000"/>
      <name val="Tahoma"/>
      <family val="2"/>
    </font>
    <font>
      <vertAlign val="superscript"/>
      <sz val="10"/>
      <color rgb="FF000000"/>
      <name val="Tahoma"/>
      <family val="2"/>
    </font>
    <font>
      <sz val="18"/>
      <color rgb="FF000000"/>
      <name val="Calibri"/>
      <family val="2"/>
    </font>
    <font>
      <sz val="11"/>
      <color rgb="FF000000"/>
      <name val="Tahoma"/>
      <family val="2"/>
    </font>
    <font>
      <b/>
      <sz val="11"/>
      <color rgb="FF000000"/>
      <name val="Tahoma"/>
      <family val="2"/>
    </font>
    <font>
      <sz val="11"/>
      <color rgb="FFFFFFFF"/>
      <name val="Tahoma"/>
      <family val="2"/>
    </font>
    <font>
      <b/>
      <sz val="16"/>
      <color rgb="FF000000"/>
      <name val="Calibri"/>
      <family val="2"/>
    </font>
    <font>
      <b/>
      <sz val="10"/>
      <color rgb="FF000000"/>
      <name val="Calibri"/>
      <family val="2"/>
    </font>
    <font>
      <b/>
      <sz val="14"/>
      <color rgb="FF000000"/>
      <name val="Calibri"/>
      <family val="2"/>
    </font>
    <font>
      <sz val="18"/>
      <color rgb="FFDD0806"/>
      <name val="Calibri"/>
      <family val="2"/>
    </font>
    <font>
      <sz val="12"/>
      <color rgb="FFDD0806"/>
      <name val="Calibri"/>
      <family val="2"/>
    </font>
    <font>
      <b/>
      <sz val="9"/>
      <color rgb="FF000000"/>
      <name val="Calibri"/>
      <family val="2"/>
    </font>
    <font>
      <sz val="11"/>
      <color rgb="FF000000"/>
      <name val="Noto Sans Symbols"/>
      <charset val="1"/>
    </font>
    <font>
      <sz val="7"/>
      <color rgb="FF000000"/>
      <name val="Times New Roman"/>
      <family val="1"/>
    </font>
    <font>
      <sz val="20"/>
      <color rgb="FF000000"/>
      <name val="Arial"/>
      <family val="2"/>
    </font>
    <font>
      <sz val="10"/>
      <color rgb="FF000000"/>
      <name val="Arial"/>
      <family val="2"/>
    </font>
    <font>
      <b/>
      <sz val="14"/>
      <color rgb="FFFFFFFF"/>
      <name val="Calibri"/>
      <family val="2"/>
    </font>
    <font>
      <sz val="12"/>
      <color rgb="FF000000"/>
      <name val="Times New Roman"/>
      <family val="1"/>
    </font>
    <font>
      <b/>
      <sz val="12"/>
      <color rgb="FF000000"/>
      <name val="Times New Roman"/>
      <family val="1"/>
    </font>
    <font>
      <b/>
      <sz val="12"/>
      <color rgb="FF000000"/>
      <name val="Calibri"/>
      <family val="2"/>
    </font>
    <font>
      <sz val="11"/>
      <color rgb="FF000000"/>
      <name val="Wingdings"/>
      <charset val="2"/>
    </font>
    <font>
      <sz val="11"/>
      <color rgb="FF000000"/>
      <name val="Calibri"/>
      <family val="2"/>
    </font>
    <font>
      <u/>
      <sz val="11"/>
      <color theme="10"/>
      <name val="Calibri"/>
      <family val="2"/>
    </font>
  </fonts>
  <fills count="21">
    <fill>
      <patternFill patternType="none"/>
    </fill>
    <fill>
      <patternFill patternType="gray125"/>
    </fill>
    <fill>
      <patternFill patternType="solid">
        <fgColor rgb="FFFFF2CC"/>
        <bgColor rgb="FFFFFFCC"/>
      </patternFill>
    </fill>
    <fill>
      <patternFill patternType="solid">
        <fgColor rgb="FFF4CCCC"/>
        <bgColor rgb="FFD9D9D9"/>
      </patternFill>
    </fill>
    <fill>
      <patternFill patternType="solid">
        <fgColor rgb="FFD9EAD3"/>
        <bgColor rgb="FFD9D9D9"/>
      </patternFill>
    </fill>
    <fill>
      <patternFill patternType="solid">
        <fgColor rgb="FF073763"/>
        <bgColor rgb="FF333333"/>
      </patternFill>
    </fill>
    <fill>
      <patternFill patternType="solid">
        <fgColor rgb="FFCFE2F3"/>
        <bgColor rgb="FFD9D9D9"/>
      </patternFill>
    </fill>
    <fill>
      <patternFill patternType="solid">
        <fgColor rgb="FF3D85C6"/>
        <bgColor rgb="FF339966"/>
      </patternFill>
    </fill>
    <fill>
      <patternFill patternType="solid">
        <fgColor rgb="FF9FC5E8"/>
        <bgColor rgb="FF99CCFF"/>
      </patternFill>
    </fill>
    <fill>
      <patternFill patternType="solid">
        <fgColor rgb="FFD9D9D9"/>
        <bgColor rgb="FFCFE2F3"/>
      </patternFill>
    </fill>
    <fill>
      <patternFill patternType="solid">
        <fgColor rgb="FFEFEFEF"/>
        <bgColor rgb="FFFFF2CC"/>
      </patternFill>
    </fill>
    <fill>
      <patternFill patternType="solid">
        <fgColor rgb="FFFFFF00"/>
        <bgColor rgb="FFFFFF00"/>
      </patternFill>
    </fill>
    <fill>
      <patternFill patternType="solid">
        <fgColor rgb="FFFFFFFF"/>
        <bgColor rgb="FFEFEFEF"/>
      </patternFill>
    </fill>
    <fill>
      <patternFill patternType="solid">
        <fgColor rgb="FF85CE69"/>
        <bgColor rgb="FFC0C0C0"/>
      </patternFill>
    </fill>
    <fill>
      <patternFill patternType="solid">
        <fgColor rgb="FFDD0806"/>
        <bgColor rgb="FFF20884"/>
      </patternFill>
    </fill>
    <fill>
      <patternFill patternType="solid">
        <fgColor rgb="FFFFFFCC"/>
        <bgColor rgb="FFFFF2CC"/>
      </patternFill>
    </fill>
    <fill>
      <patternFill patternType="solid">
        <fgColor rgb="FF99CCFF"/>
        <bgColor rgb="FF9FC5E8"/>
      </patternFill>
    </fill>
    <fill>
      <patternFill patternType="solid">
        <fgColor rgb="FFCCFFFF"/>
        <bgColor rgb="FFCFE2F3"/>
      </patternFill>
    </fill>
    <fill>
      <patternFill patternType="solid">
        <fgColor rgb="FFFFCC00"/>
        <bgColor rgb="FFFFFF00"/>
      </patternFill>
    </fill>
    <fill>
      <patternFill patternType="solid">
        <fgColor rgb="FF000000"/>
        <bgColor rgb="FF003300"/>
      </patternFill>
    </fill>
    <fill>
      <patternFill patternType="solid">
        <fgColor rgb="FFC0C0C0"/>
        <bgColor rgb="FF9FC5E8"/>
      </patternFill>
    </fill>
  </fills>
  <borders count="52">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style="thin">
        <color auto="1"/>
      </left>
      <right style="thin">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thin">
        <color auto="1"/>
      </right>
      <top/>
      <bottom style="thin">
        <color auto="1"/>
      </bottom>
      <diagonal/>
    </border>
    <border>
      <left style="double">
        <color auto="1"/>
      </left>
      <right/>
      <top/>
      <bottom/>
      <diagonal/>
    </border>
    <border>
      <left/>
      <right style="thin">
        <color auto="1"/>
      </right>
      <top/>
      <bottom/>
      <diagonal/>
    </border>
    <border>
      <left style="medium">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style="thin">
        <color auto="1"/>
      </left>
      <right/>
      <top/>
      <bottom style="thin">
        <color auto="1"/>
      </bottom>
      <diagonal/>
    </border>
    <border>
      <left style="medium">
        <color auto="1"/>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diagonal/>
    </border>
    <border>
      <left/>
      <right style="thick">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style="medium">
        <color auto="1"/>
      </right>
      <top style="thick">
        <color auto="1"/>
      </top>
      <bottom style="thick">
        <color auto="1"/>
      </bottom>
      <diagonal/>
    </border>
    <border>
      <left style="thin">
        <color auto="1"/>
      </left>
      <right style="thick">
        <color auto="1"/>
      </right>
      <top style="thick">
        <color auto="1"/>
      </top>
      <bottom style="thick">
        <color auto="1"/>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right style="thin">
        <color auto="1"/>
      </right>
      <top style="thin">
        <color auto="1"/>
      </top>
      <bottom style="thick">
        <color auto="1"/>
      </bottom>
      <diagonal/>
    </border>
  </borders>
  <cellStyleXfs count="2">
    <xf numFmtId="0" fontId="0" fillId="0" borderId="0"/>
    <xf numFmtId="0" fontId="38" fillId="0" borderId="0" applyNumberFormat="0" applyFill="0" applyBorder="0" applyAlignment="0" applyProtection="0"/>
  </cellStyleXfs>
  <cellXfs count="237">
    <xf numFmtId="0" fontId="0" fillId="0" borderId="0" xfId="0"/>
    <xf numFmtId="0" fontId="0" fillId="0" borderId="2" xfId="0" applyBorder="1" applyAlignment="1">
      <alignment vertical="top" wrapText="1"/>
    </xf>
    <xf numFmtId="0" fontId="3" fillId="0" borderId="0" xfId="0" applyFont="1" applyAlignment="1">
      <alignment horizontal="center"/>
    </xf>
    <xf numFmtId="0" fontId="1" fillId="0" borderId="0" xfId="0" applyFont="1"/>
    <xf numFmtId="0" fontId="0" fillId="0" borderId="0" xfId="0" applyAlignment="1">
      <alignment horizontal="right"/>
    </xf>
    <xf numFmtId="0" fontId="3" fillId="0" borderId="0" xfId="0" applyFont="1" applyAlignment="1">
      <alignment horizontal="left"/>
    </xf>
    <xf numFmtId="164" fontId="3" fillId="0" borderId="0" xfId="0" applyNumberFormat="1" applyFont="1" applyAlignment="1">
      <alignment horizontal="center"/>
    </xf>
    <xf numFmtId="0" fontId="4" fillId="0" borderId="0" xfId="0" applyFont="1"/>
    <xf numFmtId="0" fontId="0" fillId="0" borderId="0" xfId="0" applyAlignment="1">
      <alignment horizontal="left"/>
    </xf>
    <xf numFmtId="0" fontId="5" fillId="0" borderId="0" xfId="0" applyFont="1"/>
    <xf numFmtId="0" fontId="9" fillId="5" borderId="2" xfId="0" applyFont="1" applyFill="1" applyBorder="1" applyAlignment="1">
      <alignment horizontal="center" vertical="center"/>
    </xf>
    <xf numFmtId="0" fontId="9" fillId="5" borderId="2" xfId="0" applyFont="1" applyFill="1" applyBorder="1" applyAlignment="1">
      <alignment horizontal="center" vertical="center" wrapText="1"/>
    </xf>
    <xf numFmtId="0" fontId="10" fillId="6" borderId="2" xfId="0" applyFont="1" applyFill="1" applyBorder="1" applyAlignment="1">
      <alignment horizontal="center" vertical="center"/>
    </xf>
    <xf numFmtId="0" fontId="10" fillId="6" borderId="2" xfId="0" applyFont="1" applyFill="1" applyBorder="1" applyAlignment="1">
      <alignment horizontal="center" vertical="center" wrapText="1"/>
    </xf>
    <xf numFmtId="0" fontId="11" fillId="7" borderId="2" xfId="0" applyFont="1" applyFill="1" applyBorder="1" applyAlignment="1">
      <alignment horizontal="center" vertical="center"/>
    </xf>
    <xf numFmtId="0" fontId="11" fillId="7" borderId="2" xfId="0" applyFont="1" applyFill="1" applyBorder="1" applyAlignment="1">
      <alignment horizontal="center" vertical="center" wrapText="1"/>
    </xf>
    <xf numFmtId="0" fontId="13" fillId="7" borderId="2" xfId="0" applyFont="1" applyFill="1" applyBorder="1" applyAlignment="1">
      <alignment horizontal="center" vertical="center"/>
    </xf>
    <xf numFmtId="0" fontId="0" fillId="6" borderId="2" xfId="0" applyFill="1" applyBorder="1" applyAlignment="1">
      <alignment horizontal="center" vertical="center"/>
    </xf>
    <xf numFmtId="0" fontId="0" fillId="8" borderId="2" xfId="0" applyFill="1" applyBorder="1" applyAlignment="1">
      <alignment horizontal="center" vertical="center"/>
    </xf>
    <xf numFmtId="0" fontId="4" fillId="0" borderId="0" xfId="0" applyFont="1" applyAlignment="1">
      <alignment horizontal="left"/>
    </xf>
    <xf numFmtId="0" fontId="0" fillId="0" borderId="0" xfId="0" applyAlignment="1">
      <alignment wrapText="1"/>
    </xf>
    <xf numFmtId="0" fontId="14" fillId="11" borderId="2" xfId="0" applyFont="1" applyFill="1" applyBorder="1" applyAlignment="1">
      <alignment horizontal="center"/>
    </xf>
    <xf numFmtId="0" fontId="14" fillId="11" borderId="4" xfId="0" applyFont="1" applyFill="1" applyBorder="1" applyAlignment="1">
      <alignment horizontal="center"/>
    </xf>
    <xf numFmtId="0" fontId="16" fillId="0" borderId="2" xfId="0" applyFont="1" applyBorder="1" applyAlignment="1">
      <alignment horizontal="center"/>
    </xf>
    <xf numFmtId="0" fontId="0" fillId="0" borderId="2" xfId="0" applyBorder="1"/>
    <xf numFmtId="0" fontId="16" fillId="0" borderId="7" xfId="0" applyFont="1" applyBorder="1" applyAlignment="1">
      <alignment horizontal="center"/>
    </xf>
    <xf numFmtId="0" fontId="16" fillId="0" borderId="11" xfId="0" applyFont="1" applyBorder="1" applyAlignment="1">
      <alignment horizontal="center"/>
    </xf>
    <xf numFmtId="0" fontId="16" fillId="0" borderId="10" xfId="0" applyFont="1" applyBorder="1" applyAlignment="1">
      <alignment horizontal="center"/>
    </xf>
    <xf numFmtId="0" fontId="16" fillId="3" borderId="10" xfId="0" applyFont="1" applyFill="1" applyBorder="1" applyAlignment="1">
      <alignment horizontal="center"/>
    </xf>
    <xf numFmtId="0" fontId="16" fillId="3" borderId="2" xfId="0" applyFont="1" applyFill="1" applyBorder="1" applyAlignment="1">
      <alignment horizontal="center"/>
    </xf>
    <xf numFmtId="0" fontId="18" fillId="0" borderId="4" xfId="0" applyFont="1" applyBorder="1"/>
    <xf numFmtId="0" fontId="10" fillId="16" borderId="15" xfId="0" applyFont="1" applyFill="1" applyBorder="1" applyAlignment="1">
      <alignment vertical="top" wrapText="1"/>
    </xf>
    <xf numFmtId="0" fontId="10" fillId="17" borderId="1" xfId="0" applyFont="1" applyFill="1" applyBorder="1" applyAlignment="1">
      <alignment vertical="top" wrapText="1"/>
    </xf>
    <xf numFmtId="0" fontId="10" fillId="17" borderId="0" xfId="0" applyFont="1" applyFill="1" applyAlignment="1">
      <alignment vertical="top" wrapText="1"/>
    </xf>
    <xf numFmtId="0" fontId="10" fillId="17" borderId="13" xfId="0" applyFont="1" applyFill="1" applyBorder="1" applyAlignment="1">
      <alignment vertical="top" wrapText="1"/>
    </xf>
    <xf numFmtId="0" fontId="10" fillId="16" borderId="15" xfId="0" applyFont="1" applyFill="1" applyBorder="1" applyAlignment="1">
      <alignment horizontal="center" wrapText="1"/>
    </xf>
    <xf numFmtId="0" fontId="10" fillId="16" borderId="1" xfId="0" applyFont="1" applyFill="1" applyBorder="1" applyAlignment="1">
      <alignment vertical="center" wrapText="1"/>
    </xf>
    <xf numFmtId="0" fontId="10" fillId="16" borderId="19" xfId="0" applyFont="1" applyFill="1" applyBorder="1" applyAlignment="1">
      <alignment vertical="center" wrapText="1"/>
    </xf>
    <xf numFmtId="0" fontId="10" fillId="16" borderId="6" xfId="0" applyFont="1" applyFill="1" applyBorder="1" applyAlignment="1">
      <alignment horizontal="center" vertical="center" wrapText="1"/>
    </xf>
    <xf numFmtId="0" fontId="10" fillId="16" borderId="15" xfId="0" applyFont="1" applyFill="1" applyBorder="1" applyAlignment="1">
      <alignment wrapText="1"/>
    </xf>
    <xf numFmtId="0" fontId="10" fillId="16" borderId="1" xfId="0" applyFont="1" applyFill="1" applyBorder="1" applyAlignment="1">
      <alignment wrapText="1"/>
    </xf>
    <xf numFmtId="0" fontId="10" fillId="16" borderId="0" xfId="0" applyFont="1" applyFill="1" applyAlignment="1">
      <alignment wrapText="1"/>
    </xf>
    <xf numFmtId="0" fontId="10" fillId="16" borderId="13" xfId="0" applyFont="1" applyFill="1" applyBorder="1" applyAlignment="1">
      <alignment wrapText="1"/>
    </xf>
    <xf numFmtId="0" fontId="0" fillId="0" borderId="14" xfId="0" applyBorder="1"/>
    <xf numFmtId="0" fontId="10" fillId="0" borderId="0" xfId="0" applyFont="1" applyAlignment="1">
      <alignment wrapText="1"/>
    </xf>
    <xf numFmtId="0" fontId="10" fillId="0" borderId="0" xfId="0" applyFont="1" applyAlignment="1">
      <alignment horizontal="center" wrapText="1"/>
    </xf>
    <xf numFmtId="0" fontId="24" fillId="11" borderId="22" xfId="0" applyFont="1" applyFill="1" applyBorder="1"/>
    <xf numFmtId="0" fontId="24" fillId="11" borderId="23" xfId="0" applyFont="1" applyFill="1" applyBorder="1"/>
    <xf numFmtId="0" fontId="25" fillId="0" borderId="0" xfId="0" applyFont="1" applyAlignment="1">
      <alignment horizontal="center"/>
    </xf>
    <xf numFmtId="0" fontId="0" fillId="0" borderId="0" xfId="0" applyAlignment="1">
      <alignment vertical="center"/>
    </xf>
    <xf numFmtId="0" fontId="0" fillId="18" borderId="3" xfId="0" applyFill="1" applyBorder="1" applyAlignment="1">
      <alignment horizontal="center" vertical="center" wrapText="1"/>
    </xf>
    <xf numFmtId="0" fontId="0" fillId="18" borderId="21" xfId="0" applyFill="1" applyBorder="1" applyAlignment="1">
      <alignment horizontal="center" vertical="center" wrapText="1"/>
    </xf>
    <xf numFmtId="0" fontId="0" fillId="0" borderId="3" xfId="0" applyBorder="1" applyAlignment="1">
      <alignment horizontal="center" vertical="top" wrapText="1"/>
    </xf>
    <xf numFmtId="0" fontId="0" fillId="0" borderId="21" xfId="0" applyBorder="1" applyAlignment="1">
      <alignment horizontal="center" vertical="top" wrapText="1"/>
    </xf>
    <xf numFmtId="0" fontId="0" fillId="0" borderId="0" xfId="0" applyAlignment="1">
      <alignment horizontal="center" vertical="top" wrapText="1"/>
    </xf>
    <xf numFmtId="0" fontId="0" fillId="0" borderId="30" xfId="0" applyBorder="1" applyAlignment="1">
      <alignment horizontal="center" vertical="top" wrapText="1"/>
    </xf>
    <xf numFmtId="0" fontId="0" fillId="0" borderId="31" xfId="0" applyBorder="1" applyAlignment="1">
      <alignment horizontal="center" vertical="top" wrapText="1"/>
    </xf>
    <xf numFmtId="0" fontId="0" fillId="0" borderId="0" xfId="0" applyAlignment="1">
      <alignment horizontal="center"/>
    </xf>
    <xf numFmtId="0" fontId="0" fillId="18" borderId="21" xfId="0" applyFill="1" applyBorder="1" applyAlignment="1">
      <alignment horizontal="center" wrapText="1"/>
    </xf>
    <xf numFmtId="0" fontId="24" fillId="0" borderId="0" xfId="0" applyFont="1" applyAlignment="1">
      <alignment horizontal="center" vertical="center" wrapText="1"/>
    </xf>
    <xf numFmtId="0" fontId="23" fillId="0" borderId="49" xfId="0" applyFont="1" applyBorder="1" applyAlignment="1">
      <alignment horizontal="center" vertical="center" wrapText="1"/>
    </xf>
    <xf numFmtId="0" fontId="23" fillId="0" borderId="2" xfId="0" applyFont="1" applyBorder="1" applyAlignment="1">
      <alignment horizontal="center" vertical="center" wrapText="1"/>
    </xf>
    <xf numFmtId="0" fontId="10" fillId="0" borderId="49"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50" xfId="0" applyFont="1" applyBorder="1" applyAlignment="1">
      <alignment horizontal="center" vertical="center" wrapText="1"/>
    </xf>
    <xf numFmtId="0" fontId="10" fillId="0" borderId="40" xfId="0" applyFont="1" applyBorder="1" applyAlignment="1">
      <alignment horizontal="center" vertical="center" wrapText="1"/>
    </xf>
    <xf numFmtId="0" fontId="4" fillId="0" borderId="0" xfId="0" applyFont="1" applyAlignment="1">
      <alignment horizontal="center"/>
    </xf>
    <xf numFmtId="0" fontId="24" fillId="0" borderId="2" xfId="0" applyFont="1" applyBorder="1" applyAlignment="1">
      <alignment horizontal="center" vertical="center"/>
    </xf>
    <xf numFmtId="0" fontId="28" fillId="0" borderId="0" xfId="0" applyFont="1" applyAlignment="1">
      <alignment horizontal="left"/>
    </xf>
    <xf numFmtId="0" fontId="30" fillId="0" borderId="2" xfId="0" applyFont="1" applyBorder="1" applyAlignment="1">
      <alignment horizontal="center" vertical="center" wrapText="1"/>
    </xf>
    <xf numFmtId="0" fontId="30" fillId="0" borderId="2" xfId="0" applyFont="1" applyBorder="1" applyAlignment="1">
      <alignment horizontal="center" wrapText="1"/>
    </xf>
    <xf numFmtId="0" fontId="33" fillId="0" borderId="0" xfId="0" applyFont="1" applyAlignment="1">
      <alignment horizontal="left"/>
    </xf>
    <xf numFmtId="0" fontId="3" fillId="0" borderId="0" xfId="0" applyFont="1"/>
    <xf numFmtId="0" fontId="37" fillId="0" borderId="2" xfId="0" applyFont="1" applyBorder="1"/>
    <xf numFmtId="0" fontId="0" fillId="0" borderId="8" xfId="0" applyBorder="1"/>
    <xf numFmtId="0" fontId="0" fillId="0" borderId="17" xfId="0" applyBorder="1"/>
    <xf numFmtId="0" fontId="0" fillId="0" borderId="11" xfId="0" applyBorder="1"/>
    <xf numFmtId="0" fontId="37" fillId="0" borderId="17" xfId="0" quotePrefix="1" applyFont="1" applyBorder="1"/>
    <xf numFmtId="0" fontId="37" fillId="0" borderId="8" xfId="0" applyFont="1" applyBorder="1"/>
    <xf numFmtId="0" fontId="26" fillId="0" borderId="26" xfId="0" applyFont="1" applyBorder="1" applyAlignment="1">
      <alignment horizontal="center" vertical="center"/>
    </xf>
    <xf numFmtId="0" fontId="26" fillId="0" borderId="27" xfId="0" applyFont="1" applyBorder="1" applyAlignment="1">
      <alignment horizontal="center" vertical="center"/>
    </xf>
    <xf numFmtId="0" fontId="24" fillId="11" borderId="24" xfId="0" applyFont="1" applyFill="1" applyBorder="1"/>
    <xf numFmtId="0" fontId="37" fillId="0" borderId="2" xfId="0" applyFont="1" applyBorder="1" applyAlignment="1">
      <alignment horizontal="center"/>
    </xf>
    <xf numFmtId="0" fontId="4" fillId="3" borderId="2" xfId="0" applyFont="1" applyFill="1" applyBorder="1" applyAlignment="1">
      <alignment horizontal="center"/>
    </xf>
    <xf numFmtId="0" fontId="4" fillId="4" borderId="2" xfId="0" applyFont="1" applyFill="1" applyBorder="1" applyAlignment="1">
      <alignment horizontal="center"/>
    </xf>
    <xf numFmtId="0" fontId="0" fillId="0" borderId="1" xfId="0" applyBorder="1" applyAlignment="1">
      <alignment horizontal="center" vertical="center"/>
    </xf>
    <xf numFmtId="0" fontId="2" fillId="0" borderId="0" xfId="0" applyFont="1" applyAlignment="1">
      <alignment horizontal="center"/>
    </xf>
    <xf numFmtId="0" fontId="3" fillId="0" borderId="0" xfId="0" applyFont="1" applyAlignment="1">
      <alignment horizontal="center"/>
    </xf>
    <xf numFmtId="0" fontId="4" fillId="2" borderId="2" xfId="0" applyFont="1" applyFill="1" applyBorder="1" applyAlignment="1">
      <alignment horizontal="left" vertical="top" wrapText="1"/>
    </xf>
    <xf numFmtId="0" fontId="0" fillId="0" borderId="2" xfId="0" applyBorder="1" applyAlignment="1">
      <alignment vertical="top" wrapText="1"/>
    </xf>
    <xf numFmtId="49" fontId="0" fillId="0" borderId="2" xfId="0" applyNumberFormat="1" applyBorder="1" applyAlignment="1">
      <alignment vertical="top" wrapText="1"/>
    </xf>
    <xf numFmtId="0" fontId="4" fillId="0" borderId="0" xfId="0" applyFont="1" applyAlignment="1">
      <alignment horizontal="left" vertical="top" wrapText="1"/>
    </xf>
    <xf numFmtId="0" fontId="5" fillId="3" borderId="2" xfId="0" applyFont="1" applyFill="1" applyBorder="1"/>
    <xf numFmtId="0" fontId="0" fillId="0" borderId="3" xfId="0" applyBorder="1" applyAlignment="1">
      <alignment vertical="top" wrapText="1"/>
    </xf>
    <xf numFmtId="0" fontId="3" fillId="0" borderId="4" xfId="0" applyFont="1" applyBorder="1" applyAlignment="1">
      <alignment vertical="top" wrapText="1"/>
    </xf>
    <xf numFmtId="49" fontId="6" fillId="0" borderId="4" xfId="0" applyNumberFormat="1" applyFont="1" applyBorder="1" applyAlignment="1">
      <alignment vertical="top" wrapText="1"/>
    </xf>
    <xf numFmtId="0" fontId="0" fillId="0" borderId="2" xfId="0" applyBorder="1" applyAlignment="1">
      <alignment horizontal="left" vertical="top" wrapText="1"/>
    </xf>
    <xf numFmtId="0" fontId="3" fillId="0" borderId="2" xfId="0" applyFont="1" applyBorder="1" applyAlignment="1">
      <alignment horizontal="left" vertical="top" wrapText="1"/>
    </xf>
    <xf numFmtId="0" fontId="3" fillId="0" borderId="2" xfId="0" applyFont="1" applyBorder="1" applyAlignment="1">
      <alignment horizontal="center" vertical="top" wrapText="1"/>
    </xf>
    <xf numFmtId="49" fontId="3" fillId="0" borderId="2" xfId="0" applyNumberFormat="1" applyFont="1" applyBorder="1" applyAlignment="1">
      <alignment horizontal="left" vertical="top" wrapText="1"/>
    </xf>
    <xf numFmtId="0" fontId="38" fillId="0" borderId="2" xfId="1" applyBorder="1" applyAlignment="1">
      <alignment horizontal="left" vertical="top" wrapText="1"/>
    </xf>
    <xf numFmtId="49" fontId="0" fillId="0" borderId="2" xfId="0" applyNumberFormat="1" applyBorder="1"/>
    <xf numFmtId="0" fontId="8" fillId="0" borderId="2" xfId="0" applyFont="1" applyBorder="1" applyAlignment="1">
      <alignment vertical="top" wrapText="1"/>
    </xf>
    <xf numFmtId="0" fontId="9" fillId="5" borderId="2" xfId="0" applyFont="1" applyFill="1" applyBorder="1" applyAlignment="1">
      <alignment horizontal="center" vertical="center"/>
    </xf>
    <xf numFmtId="0" fontId="9" fillId="5" borderId="2" xfId="0" applyFont="1" applyFill="1" applyBorder="1" applyAlignment="1">
      <alignment horizontal="center" vertical="center" wrapText="1"/>
    </xf>
    <xf numFmtId="0" fontId="10" fillId="6" borderId="2" xfId="0" applyFont="1" applyFill="1" applyBorder="1" applyAlignment="1">
      <alignment horizontal="center" vertical="center"/>
    </xf>
    <xf numFmtId="0" fontId="10" fillId="6" borderId="2" xfId="0" applyFont="1" applyFill="1" applyBorder="1" applyAlignment="1">
      <alignment horizontal="center" vertical="center" wrapText="1"/>
    </xf>
    <xf numFmtId="0" fontId="11" fillId="7" borderId="2" xfId="0" applyFont="1" applyFill="1" applyBorder="1" applyAlignment="1">
      <alignment horizontal="center" vertical="center"/>
    </xf>
    <xf numFmtId="0" fontId="11" fillId="7" borderId="2" xfId="0" applyFont="1" applyFill="1" applyBorder="1" applyAlignment="1">
      <alignment horizontal="center" vertical="center" wrapText="1"/>
    </xf>
    <xf numFmtId="0" fontId="4" fillId="8" borderId="2" xfId="0" applyFont="1" applyFill="1" applyBorder="1"/>
    <xf numFmtId="0" fontId="0" fillId="6" borderId="2" xfId="0" applyFill="1" applyBorder="1" applyAlignment="1">
      <alignment wrapText="1"/>
    </xf>
    <xf numFmtId="0" fontId="0" fillId="8" borderId="2" xfId="0" applyFill="1" applyBorder="1"/>
    <xf numFmtId="0" fontId="0" fillId="6" borderId="2" xfId="0" applyFill="1" applyBorder="1"/>
    <xf numFmtId="0" fontId="4" fillId="9" borderId="2" xfId="0" applyFont="1" applyFill="1" applyBorder="1"/>
    <xf numFmtId="0" fontId="4" fillId="10" borderId="2" xfId="0" applyFont="1" applyFill="1" applyBorder="1" applyAlignment="1">
      <alignment horizontal="center" vertical="center"/>
    </xf>
    <xf numFmtId="0" fontId="4" fillId="10"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4" fillId="9" borderId="2" xfId="0" applyFont="1" applyFill="1" applyBorder="1" applyAlignment="1">
      <alignment vertical="top" wrapText="1"/>
    </xf>
    <xf numFmtId="0" fontId="4" fillId="10" borderId="2" xfId="0" applyFont="1" applyFill="1" applyBorder="1" applyAlignment="1">
      <alignment vertical="center" wrapText="1"/>
    </xf>
    <xf numFmtId="0" fontId="14" fillId="11" borderId="3" xfId="0" applyFont="1" applyFill="1" applyBorder="1" applyAlignment="1">
      <alignment horizontal="center"/>
    </xf>
    <xf numFmtId="0" fontId="15" fillId="0" borderId="7" xfId="0" applyFont="1" applyBorder="1" applyAlignment="1">
      <alignment horizontal="left" vertical="center"/>
    </xf>
    <xf numFmtId="0" fontId="15" fillId="0" borderId="2" xfId="0" applyFont="1" applyBorder="1"/>
    <xf numFmtId="0" fontId="15" fillId="0" borderId="7" xfId="0" applyFont="1" applyBorder="1"/>
    <xf numFmtId="0" fontId="15" fillId="0" borderId="9" xfId="0" applyFont="1" applyBorder="1" applyAlignment="1">
      <alignment horizontal="left" vertical="center"/>
    </xf>
    <xf numFmtId="0" fontId="15" fillId="0" borderId="10" xfId="0" applyFont="1" applyBorder="1"/>
    <xf numFmtId="0" fontId="15" fillId="0" borderId="9" xfId="0" applyFont="1" applyBorder="1" applyAlignment="1">
      <alignment horizontal="left" vertical="center" wrapText="1"/>
    </xf>
    <xf numFmtId="0" fontId="15" fillId="12" borderId="10" xfId="0" applyFont="1" applyFill="1" applyBorder="1" applyAlignment="1">
      <alignment horizontal="left" vertical="center" wrapText="1"/>
    </xf>
    <xf numFmtId="0" fontId="15" fillId="12" borderId="10" xfId="0" applyFont="1" applyFill="1" applyBorder="1"/>
    <xf numFmtId="0" fontId="15" fillId="12" borderId="2" xfId="0" applyFont="1" applyFill="1" applyBorder="1"/>
    <xf numFmtId="0" fontId="14" fillId="11" borderId="12" xfId="0" applyFont="1" applyFill="1" applyBorder="1" applyAlignment="1">
      <alignment horizontal="center"/>
    </xf>
    <xf numFmtId="0" fontId="15" fillId="0" borderId="10" xfId="0" applyFont="1" applyBorder="1" applyAlignment="1">
      <alignment horizontal="left" vertical="center"/>
    </xf>
    <xf numFmtId="0" fontId="2" fillId="0" borderId="2" xfId="0" applyFont="1" applyBorder="1" applyAlignment="1">
      <alignment horizontal="right"/>
    </xf>
    <xf numFmtId="0" fontId="19" fillId="0" borderId="0" xfId="0" applyFont="1" applyAlignment="1">
      <alignment horizontal="center" wrapText="1"/>
    </xf>
    <xf numFmtId="0" fontId="20" fillId="0" borderId="3" xfId="0" applyFont="1" applyBorder="1" applyAlignment="1">
      <alignment horizontal="center" wrapText="1"/>
    </xf>
    <xf numFmtId="0" fontId="20" fillId="0" borderId="4" xfId="0" applyFont="1" applyBorder="1" applyAlignment="1">
      <alignment horizontal="center" wrapText="1"/>
    </xf>
    <xf numFmtId="0" fontId="19" fillId="13" borderId="14" xfId="0" applyFont="1" applyFill="1" applyBorder="1" applyAlignment="1">
      <alignment horizontal="center" wrapText="1"/>
    </xf>
    <xf numFmtId="0" fontId="19" fillId="13" borderId="0" xfId="0" applyFont="1" applyFill="1" applyAlignment="1">
      <alignment horizontal="center" wrapText="1"/>
    </xf>
    <xf numFmtId="0" fontId="19" fillId="11" borderId="14" xfId="0" applyFont="1" applyFill="1" applyBorder="1" applyAlignment="1">
      <alignment horizontal="center" wrapText="1"/>
    </xf>
    <xf numFmtId="0" fontId="19" fillId="11" borderId="0" xfId="0" applyFont="1" applyFill="1" applyAlignment="1">
      <alignment horizontal="center" wrapText="1"/>
    </xf>
    <xf numFmtId="0" fontId="21" fillId="14" borderId="14" xfId="0" applyFont="1" applyFill="1" applyBorder="1" applyAlignment="1">
      <alignment horizontal="center" wrapText="1"/>
    </xf>
    <xf numFmtId="0" fontId="21" fillId="14" borderId="0" xfId="0" applyFont="1" applyFill="1" applyAlignment="1">
      <alignment horizontal="center" wrapText="1"/>
    </xf>
    <xf numFmtId="0" fontId="0" fillId="0" borderId="0" xfId="0"/>
    <xf numFmtId="0" fontId="22" fillId="15" borderId="2" xfId="0" applyFont="1" applyFill="1" applyBorder="1" applyAlignment="1">
      <alignment horizontal="center" vertical="top" wrapText="1"/>
    </xf>
    <xf numFmtId="0" fontId="23" fillId="16" borderId="16" xfId="0" applyFont="1" applyFill="1" applyBorder="1" applyAlignment="1">
      <alignment horizontal="center" vertical="center" wrapText="1"/>
    </xf>
    <xf numFmtId="0" fontId="10" fillId="17" borderId="17" xfId="0" applyFont="1" applyFill="1" applyBorder="1" applyAlignment="1">
      <alignment horizontal="center" vertical="top" wrapText="1"/>
    </xf>
    <xf numFmtId="0" fontId="10" fillId="17" borderId="17" xfId="0" applyFont="1" applyFill="1" applyBorder="1" applyAlignment="1">
      <alignment vertical="top" wrapText="1"/>
    </xf>
    <xf numFmtId="0" fontId="10" fillId="17" borderId="17" xfId="0" applyFont="1" applyFill="1" applyBorder="1" applyAlignment="1">
      <alignment horizontal="left" vertical="top" wrapText="1"/>
    </xf>
    <xf numFmtId="0" fontId="23" fillId="17" borderId="17" xfId="0" applyFont="1" applyFill="1" applyBorder="1" applyAlignment="1">
      <alignment horizontal="center" vertical="top" wrapText="1"/>
    </xf>
    <xf numFmtId="0" fontId="10" fillId="17" borderId="1" xfId="0" applyFont="1" applyFill="1" applyBorder="1" applyAlignment="1">
      <alignment vertical="top" wrapText="1"/>
    </xf>
    <xf numFmtId="0" fontId="23" fillId="17" borderId="0" xfId="0" applyFont="1" applyFill="1" applyAlignment="1">
      <alignment horizontal="center" vertical="center" wrapText="1"/>
    </xf>
    <xf numFmtId="0" fontId="23" fillId="16" borderId="2" xfId="0" applyFont="1" applyFill="1" applyBorder="1" applyAlignment="1">
      <alignment horizontal="center" vertical="center" wrapText="1"/>
    </xf>
    <xf numFmtId="0" fontId="23" fillId="16" borderId="8" xfId="0" applyFont="1" applyFill="1" applyBorder="1" applyAlignment="1">
      <alignment horizontal="center" vertical="center" wrapText="1"/>
    </xf>
    <xf numFmtId="0" fontId="23" fillId="16" borderId="11" xfId="0" applyFont="1" applyFill="1" applyBorder="1" applyAlignment="1">
      <alignment horizontal="center" vertical="center" wrapText="1"/>
    </xf>
    <xf numFmtId="0" fontId="23" fillId="16" borderId="18" xfId="0" applyFont="1" applyFill="1" applyBorder="1" applyAlignment="1">
      <alignment horizontal="left" vertical="center" wrapText="1"/>
    </xf>
    <xf numFmtId="0" fontId="10" fillId="17" borderId="15" xfId="0" applyFont="1" applyFill="1" applyBorder="1" applyAlignment="1">
      <alignment horizontal="center" vertical="center" wrapText="1"/>
    </xf>
    <xf numFmtId="0" fontId="10" fillId="17" borderId="16" xfId="0" applyFont="1" applyFill="1" applyBorder="1" applyAlignment="1">
      <alignment horizontal="center" vertical="center" wrapText="1"/>
    </xf>
    <xf numFmtId="0" fontId="10" fillId="17" borderId="1" xfId="0" applyFont="1" applyFill="1" applyBorder="1" applyAlignment="1">
      <alignment wrapText="1"/>
    </xf>
    <xf numFmtId="0" fontId="10" fillId="17" borderId="13" xfId="0" applyFont="1" applyFill="1" applyBorder="1" applyAlignment="1">
      <alignment horizontal="center" wrapText="1"/>
    </xf>
    <xf numFmtId="0" fontId="10" fillId="16" borderId="15" xfId="0" applyFont="1" applyFill="1" applyBorder="1" applyAlignment="1">
      <alignment horizontal="center" vertical="center" wrapText="1"/>
    </xf>
    <xf numFmtId="0" fontId="23" fillId="16" borderId="16" xfId="0" applyFont="1" applyFill="1" applyBorder="1" applyAlignment="1">
      <alignment horizontal="center" wrapText="1"/>
    </xf>
    <xf numFmtId="0" fontId="23" fillId="16" borderId="16" xfId="0" applyFont="1" applyFill="1" applyBorder="1" applyAlignment="1">
      <alignment horizontal="left" wrapText="1"/>
    </xf>
    <xf numFmtId="0" fontId="23" fillId="16" borderId="13" xfId="0" applyFont="1" applyFill="1" applyBorder="1" applyAlignment="1">
      <alignment horizontal="left" wrapText="1"/>
    </xf>
    <xf numFmtId="0" fontId="4" fillId="11" borderId="20" xfId="0" applyFont="1" applyFill="1" applyBorder="1" applyAlignment="1">
      <alignment horizontal="center"/>
    </xf>
    <xf numFmtId="0" fontId="10" fillId="17" borderId="0" xfId="0" applyFont="1" applyFill="1" applyAlignment="1">
      <alignment horizontal="center" wrapText="1"/>
    </xf>
    <xf numFmtId="0" fontId="10" fillId="17" borderId="19" xfId="0" applyFont="1" applyFill="1" applyBorder="1" applyAlignment="1">
      <alignment wrapText="1"/>
    </xf>
    <xf numFmtId="0" fontId="10" fillId="17" borderId="6" xfId="0" applyFont="1" applyFill="1" applyBorder="1" applyAlignment="1">
      <alignment horizontal="center" wrapText="1"/>
    </xf>
    <xf numFmtId="0" fontId="10" fillId="18" borderId="25" xfId="0" applyFont="1" applyFill="1" applyBorder="1" applyAlignment="1">
      <alignment horizontal="center" vertical="center" wrapText="1"/>
    </xf>
    <xf numFmtId="0" fontId="0" fillId="18" borderId="28" xfId="0" applyFill="1" applyBorder="1" applyAlignment="1">
      <alignment horizontal="center" vertical="center" wrapText="1"/>
    </xf>
    <xf numFmtId="0" fontId="0" fillId="0" borderId="28" xfId="0" applyBorder="1" applyAlignment="1">
      <alignment horizontal="center" wrapText="1"/>
    </xf>
    <xf numFmtId="0" fontId="0" fillId="0" borderId="28" xfId="0" applyBorder="1" applyAlignment="1">
      <alignment horizontal="center" vertical="top" wrapText="1"/>
    </xf>
    <xf numFmtId="0" fontId="0" fillId="0" borderId="29" xfId="0" applyBorder="1" applyAlignment="1">
      <alignment horizontal="center" wrapText="1"/>
    </xf>
    <xf numFmtId="0" fontId="0" fillId="0" borderId="29" xfId="0" applyBorder="1" applyAlignment="1">
      <alignment horizontal="center" vertical="top" wrapText="1"/>
    </xf>
    <xf numFmtId="0" fontId="10" fillId="18" borderId="25" xfId="0" applyFont="1" applyFill="1" applyBorder="1" applyAlignment="1">
      <alignment horizontal="center" wrapText="1"/>
    </xf>
    <xf numFmtId="0" fontId="0" fillId="18" borderId="28" xfId="0" applyFill="1" applyBorder="1" applyAlignment="1">
      <alignment horizontal="center" wrapText="1"/>
    </xf>
    <xf numFmtId="0" fontId="4" fillId="11" borderId="32" xfId="0" applyFont="1" applyFill="1" applyBorder="1" applyAlignment="1">
      <alignment horizontal="center" vertical="top" wrapText="1"/>
    </xf>
    <xf numFmtId="0" fontId="4" fillId="11" borderId="33" xfId="0" applyFont="1" applyFill="1" applyBorder="1" applyAlignment="1">
      <alignment horizontal="center" vertical="top" wrapText="1"/>
    </xf>
    <xf numFmtId="0" fontId="4" fillId="11" borderId="34" xfId="0" applyFont="1" applyFill="1" applyBorder="1" applyAlignment="1">
      <alignment horizontal="center" vertical="top" wrapText="1"/>
    </xf>
    <xf numFmtId="0" fontId="0" fillId="0" borderId="35" xfId="0" applyBorder="1" applyAlignment="1">
      <alignment horizontal="center" vertical="center" wrapText="1"/>
    </xf>
    <xf numFmtId="0" fontId="24" fillId="0" borderId="36" xfId="0" applyFont="1" applyBorder="1" applyAlignment="1">
      <alignment horizontal="center" vertical="center" wrapText="1"/>
    </xf>
    <xf numFmtId="0" fontId="0" fillId="0" borderId="37" xfId="0" applyBorder="1" applyAlignment="1">
      <alignment horizontal="left" vertical="top" wrapText="1"/>
    </xf>
    <xf numFmtId="0" fontId="24" fillId="0" borderId="38" xfId="0" applyFont="1" applyBorder="1" applyAlignment="1">
      <alignment horizontal="center" vertical="top" wrapText="1"/>
    </xf>
    <xf numFmtId="0" fontId="24" fillId="0" borderId="39" xfId="0" applyFont="1" applyBorder="1" applyAlignment="1">
      <alignment horizontal="center" vertical="top" wrapText="1"/>
    </xf>
    <xf numFmtId="0" fontId="0" fillId="0" borderId="40" xfId="0" applyBorder="1" applyAlignment="1">
      <alignment horizontal="left" vertical="top" wrapText="1"/>
    </xf>
    <xf numFmtId="0" fontId="24" fillId="0" borderId="41" xfId="0" applyFont="1" applyBorder="1" applyAlignment="1">
      <alignment horizontal="center" vertical="top" wrapText="1"/>
    </xf>
    <xf numFmtId="0" fontId="24" fillId="0" borderId="41" xfId="0" applyFont="1" applyBorder="1" applyAlignment="1">
      <alignment horizontal="center"/>
    </xf>
    <xf numFmtId="0" fontId="0" fillId="0" borderId="35" xfId="0" applyBorder="1" applyAlignment="1">
      <alignment vertical="top" wrapText="1"/>
    </xf>
    <xf numFmtId="0" fontId="24" fillId="0" borderId="42" xfId="0" applyFont="1" applyBorder="1" applyAlignment="1">
      <alignment horizontal="center" vertical="center"/>
    </xf>
    <xf numFmtId="0" fontId="0" fillId="0" borderId="43" xfId="0" applyBorder="1" applyAlignment="1">
      <alignment horizontal="left" vertical="top" wrapText="1"/>
    </xf>
    <xf numFmtId="0" fontId="27" fillId="0" borderId="43" xfId="0" applyFont="1" applyBorder="1" applyAlignment="1">
      <alignment horizontal="center" vertical="center" wrapText="1"/>
    </xf>
    <xf numFmtId="0" fontId="4" fillId="11" borderId="44" xfId="0" applyFont="1" applyFill="1" applyBorder="1" applyAlignment="1">
      <alignment horizontal="center" vertical="center" wrapText="1"/>
    </xf>
    <xf numFmtId="0" fontId="4" fillId="0" borderId="45" xfId="0" applyFont="1" applyBorder="1" applyAlignment="1">
      <alignment horizontal="center" vertical="top" wrapText="1"/>
    </xf>
    <xf numFmtId="0" fontId="4" fillId="0" borderId="11" xfId="0" applyFont="1" applyBorder="1" applyAlignment="1">
      <alignment horizontal="center" vertical="top" wrapText="1"/>
    </xf>
    <xf numFmtId="0" fontId="4" fillId="0" borderId="46" xfId="0" applyFont="1" applyBorder="1" applyAlignment="1">
      <alignment horizontal="center" vertical="top" wrapText="1"/>
    </xf>
    <xf numFmtId="0" fontId="24" fillId="0" borderId="29" xfId="0" applyFont="1" applyBorder="1" applyAlignment="1">
      <alignment horizontal="center" vertical="center" wrapText="1"/>
    </xf>
    <xf numFmtId="0" fontId="24" fillId="0" borderId="47" xfId="0" applyFont="1" applyBorder="1" applyAlignment="1">
      <alignment horizontal="center" vertical="center" wrapText="1"/>
    </xf>
    <xf numFmtId="0" fontId="24" fillId="0" borderId="31" xfId="0" applyFont="1" applyBorder="1" applyAlignment="1">
      <alignment horizontal="center" vertical="center" wrapText="1"/>
    </xf>
    <xf numFmtId="0" fontId="5" fillId="0" borderId="48"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9"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9" xfId="0" applyFont="1" applyBorder="1" applyAlignment="1">
      <alignment horizontal="center" vertical="center" wrapText="1"/>
    </xf>
    <xf numFmtId="0" fontId="10" fillId="0" borderId="51" xfId="0" applyFont="1" applyBorder="1" applyAlignment="1">
      <alignment horizontal="center" vertical="center" wrapText="1"/>
    </xf>
    <xf numFmtId="0" fontId="10" fillId="0" borderId="40"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horizontal="center" vertical="center" wrapText="1"/>
    </xf>
    <xf numFmtId="0" fontId="0" fillId="0" borderId="2" xfId="0" applyBorder="1"/>
    <xf numFmtId="0" fontId="4" fillId="0" borderId="2" xfId="0" applyFont="1" applyBorder="1" applyAlignment="1">
      <alignment horizontal="left"/>
    </xf>
    <xf numFmtId="0" fontId="4" fillId="0" borderId="2" xfId="0" applyFont="1" applyBorder="1" applyAlignment="1">
      <alignment vertical="top" wrapText="1"/>
    </xf>
    <xf numFmtId="0" fontId="0" fillId="0" borderId="2" xfId="0" applyBorder="1" applyAlignment="1">
      <alignment horizontal="left"/>
    </xf>
    <xf numFmtId="0" fontId="0" fillId="0" borderId="0" xfId="0" applyAlignment="1">
      <alignment horizontal="left" wrapText="1"/>
    </xf>
    <xf numFmtId="0" fontId="0" fillId="0" borderId="2" xfId="0" applyBorder="1" applyAlignment="1">
      <alignment horizontal="right" vertical="center" wrapText="1"/>
    </xf>
    <xf numFmtId="0" fontId="0" fillId="0" borderId="2" xfId="0" applyBorder="1" applyAlignment="1">
      <alignment horizontal="center" vertical="center"/>
    </xf>
    <xf numFmtId="0" fontId="5" fillId="0" borderId="2" xfId="0" applyFont="1" applyBorder="1" applyAlignment="1">
      <alignment horizontal="left" vertical="center" wrapText="1"/>
    </xf>
    <xf numFmtId="0" fontId="0" fillId="0" borderId="0" xfId="0" applyAlignment="1">
      <alignment wrapText="1"/>
    </xf>
    <xf numFmtId="0" fontId="31" fillId="0" borderId="2" xfId="0" applyFont="1" applyBorder="1" applyAlignment="1">
      <alignment horizontal="center" vertical="center" wrapText="1"/>
    </xf>
    <xf numFmtId="0" fontId="0" fillId="0" borderId="2" xfId="0" applyBorder="1" applyAlignment="1">
      <alignment horizontal="center" vertical="top" wrapText="1"/>
    </xf>
    <xf numFmtId="0" fontId="24" fillId="13"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4" fillId="14" borderId="2" xfId="0" applyFont="1" applyFill="1" applyBorder="1" applyAlignment="1">
      <alignment horizontal="center" vertical="center" wrapText="1"/>
    </xf>
    <xf numFmtId="0" fontId="32" fillId="19" borderId="2" xfId="0" applyFont="1" applyFill="1" applyBorder="1" applyAlignment="1">
      <alignment horizontal="center" vertical="center" wrapText="1"/>
    </xf>
    <xf numFmtId="0" fontId="33" fillId="0" borderId="0" xfId="0" applyFont="1" applyAlignment="1">
      <alignment horizontal="left" wrapText="1"/>
    </xf>
    <xf numFmtId="0" fontId="0" fillId="0" borderId="6" xfId="0" applyBorder="1"/>
    <xf numFmtId="49" fontId="0" fillId="0" borderId="2" xfId="0" applyNumberFormat="1" applyBorder="1" applyAlignment="1">
      <alignment horizontal="left"/>
    </xf>
    <xf numFmtId="0" fontId="24" fillId="20" borderId="2" xfId="0" applyFont="1" applyFill="1" applyBorder="1" applyAlignment="1">
      <alignment horizontal="center" vertical="top" wrapText="1"/>
    </xf>
    <xf numFmtId="0" fontId="0" fillId="0" borderId="2" xfId="0" applyBorder="1" applyAlignment="1">
      <alignment horizontal="center"/>
    </xf>
    <xf numFmtId="0" fontId="0" fillId="0" borderId="0" xfId="0" applyAlignment="1">
      <alignment horizontal="center" vertical="top" wrapText="1"/>
    </xf>
    <xf numFmtId="0" fontId="0" fillId="0" borderId="6" xfId="0" applyBorder="1" applyAlignment="1">
      <alignment horizontal="center"/>
    </xf>
    <xf numFmtId="0" fontId="0" fillId="0" borderId="5" xfId="0" applyBorder="1" applyAlignment="1">
      <alignment horizontal="center"/>
    </xf>
    <xf numFmtId="0" fontId="0" fillId="0" borderId="5" xfId="0" applyBorder="1" applyAlignment="1"/>
    <xf numFmtId="0" fontId="0" fillId="0" borderId="3" xfId="0" applyBorder="1" applyAlignment="1">
      <alignment vertical="center" wrapText="1"/>
    </xf>
    <xf numFmtId="0" fontId="0" fillId="0" borderId="5" xfId="0" applyBorder="1" applyAlignment="1">
      <alignment vertical="center" wrapText="1"/>
    </xf>
    <xf numFmtId="0" fontId="0" fillId="0" borderId="4" xfId="0" applyBorder="1" applyAlignment="1">
      <alignment vertical="center" wrapText="1"/>
    </xf>
    <xf numFmtId="49" fontId="3" fillId="0" borderId="3" xfId="0" applyNumberFormat="1" applyFont="1" applyBorder="1" applyAlignment="1">
      <alignment horizontal="left" vertical="top" wrapText="1"/>
    </xf>
    <xf numFmtId="0" fontId="4" fillId="0" borderId="2" xfId="0" applyFont="1" applyBorder="1" applyAlignment="1">
      <alignment horizontal="center" vertical="center"/>
    </xf>
  </cellXfs>
  <cellStyles count="2">
    <cellStyle name="Collegamento ipertestuale" xfId="1" builtinId="8"/>
    <cellStyle name="Normale" xfId="0" builtinId="0"/>
  </cellStyles>
  <dxfs count="6">
    <dxf>
      <fill>
        <patternFill>
          <bgColor rgb="FFDD0806"/>
        </patternFill>
      </fill>
    </dxf>
    <dxf>
      <fill>
        <patternFill>
          <bgColor rgb="FFDD0806"/>
        </patternFill>
      </fill>
    </dxf>
    <dxf>
      <fill>
        <patternFill>
          <bgColor rgb="FFDD0806"/>
        </patternFill>
      </fill>
    </dxf>
    <dxf>
      <fill>
        <patternFill>
          <bgColor rgb="FFDD0806"/>
        </patternFill>
      </fill>
    </dxf>
    <dxf>
      <font>
        <color rgb="FFF20884"/>
      </font>
      <fill>
        <patternFill>
          <bgColor rgb="FFFF99CC"/>
        </patternFill>
      </fill>
    </dxf>
    <dxf>
      <fill>
        <patternFill>
          <bgColor rgb="FFDD0806"/>
        </patternFill>
      </fill>
    </dxf>
  </dxfs>
  <tableStyles count="0" defaultTableStyle="TableStyleMedium2" defaultPivotStyle="PivotStyleLight16"/>
  <colors>
    <indexedColors>
      <rgbColor rgb="FF000000"/>
      <rgbColor rgb="FFFFFFFF"/>
      <rgbColor rgb="FFDD0806"/>
      <rgbColor rgb="FF00FF00"/>
      <rgbColor rgb="FF0000FF"/>
      <rgbColor rgb="FFFFFF00"/>
      <rgbColor rgb="FFF20884"/>
      <rgbColor rgb="FF00FFFF"/>
      <rgbColor rgb="FF800000"/>
      <rgbColor rgb="FF008000"/>
      <rgbColor rgb="FF000080"/>
      <rgbColor rgb="FF808000"/>
      <rgbColor rgb="FF800080"/>
      <rgbColor rgb="FF008080"/>
      <rgbColor rgb="FFC0C0C0"/>
      <rgbColor rgb="FF808080"/>
      <rgbColor rgb="FF9FC5E8"/>
      <rgbColor rgb="FF993366"/>
      <rgbColor rgb="FFFFFFCC"/>
      <rgbColor rgb="FFCCFFF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EFEFEF"/>
      <rgbColor rgb="FFD9EAD3"/>
      <rgbColor rgb="FFFFF2CC"/>
      <rgbColor rgb="FF99CCFF"/>
      <rgbColor rgb="FFFF99CC"/>
      <rgbColor rgb="FFD9D9D9"/>
      <rgbColor rgb="FFF4CCCC"/>
      <rgbColor rgb="FF3D85C6"/>
      <rgbColor rgb="FF33CCCC"/>
      <rgbColor rgb="FF85CE69"/>
      <rgbColor rgb="FFFFCC00"/>
      <rgbColor rgb="FFFF9900"/>
      <rgbColor rgb="FFFF6600"/>
      <rgbColor rgb="FF666699"/>
      <rgbColor rgb="FF969696"/>
      <rgbColor rgb="FF073763"/>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47520</xdr:colOff>
      <xdr:row>176</xdr:row>
      <xdr:rowOff>181080</xdr:rowOff>
    </xdr:from>
    <xdr:to>
      <xdr:col>0</xdr:col>
      <xdr:colOff>523440</xdr:colOff>
      <xdr:row>177</xdr:row>
      <xdr:rowOff>390240</xdr:rowOff>
    </xdr:to>
    <xdr:sp macro="" textlink="">
      <xdr:nvSpPr>
        <xdr:cNvPr id="2" name="Shape 3">
          <a:extLst>
            <a:ext uri="{FF2B5EF4-FFF2-40B4-BE49-F238E27FC236}">
              <a16:creationId xmlns:a16="http://schemas.microsoft.com/office/drawing/2014/main" id="{00000000-0008-0000-0000-000002000000}"/>
            </a:ext>
          </a:extLst>
        </xdr:cNvPr>
        <xdr:cNvSpPr/>
      </xdr:nvSpPr>
      <xdr:spPr>
        <a:xfrm>
          <a:off x="47520" y="43224480"/>
          <a:ext cx="475920" cy="533160"/>
        </a:xfrm>
        <a:prstGeom prst="rect">
          <a:avLst/>
        </a:prstGeom>
        <a:solidFill>
          <a:srgbClr val="FF0000"/>
        </a:solidFill>
        <a:ln w="9525">
          <a:solidFill>
            <a:srgbClr val="000000"/>
          </a:solidFill>
          <a:miter/>
        </a:ln>
      </xdr:spPr>
      <xdr:style>
        <a:lnRef idx="0">
          <a:scrgbClr r="0" g="0" b="0"/>
        </a:lnRef>
        <a:fillRef idx="0">
          <a:scrgbClr r="0" g="0" b="0"/>
        </a:fillRef>
        <a:effectRef idx="0">
          <a:scrgbClr r="0" g="0" b="0"/>
        </a:effectRef>
        <a:fontRef idx="minor"/>
      </xdr:style>
      <xdr:txBody>
        <a:bodyPr anchor="t">
          <a:noAutofit/>
        </a:bodyPr>
        <a:lstStyle/>
        <a:p>
          <a:pPr>
            <a:lnSpc>
              <a:spcPct val="100000"/>
            </a:lnSpc>
            <a:tabLst>
              <a:tab pos="0" algn="l"/>
            </a:tabLst>
          </a:pPr>
          <a:r>
            <a:rPr lang="en-US" sz="2800" b="0" strike="noStrike" spc="-1">
              <a:solidFill>
                <a:srgbClr val="000000"/>
              </a:solidFill>
              <a:latin typeface="Calibri"/>
              <a:ea typeface="Calibri"/>
            </a:rPr>
            <a:t>3</a:t>
          </a:r>
          <a:endParaRPr lang="it-IT" sz="2800" b="0" strike="noStrike" spc="-1">
            <a:latin typeface="Times New Roman"/>
          </a:endParaRPr>
        </a:p>
      </xdr:txBody>
    </xdr:sp>
    <xdr:clientData/>
  </xdr:twoCellAnchor>
  <xdr:twoCellAnchor editAs="oneCell">
    <xdr:from>
      <xdr:col>5</xdr:col>
      <xdr:colOff>57240</xdr:colOff>
      <xdr:row>176</xdr:row>
      <xdr:rowOff>304920</xdr:rowOff>
    </xdr:from>
    <xdr:to>
      <xdr:col>5</xdr:col>
      <xdr:colOff>485640</xdr:colOff>
      <xdr:row>177</xdr:row>
      <xdr:rowOff>495000</xdr:rowOff>
    </xdr:to>
    <xdr:sp macro="" textlink="">
      <xdr:nvSpPr>
        <xdr:cNvPr id="3" name="Shape 4">
          <a:extLst>
            <a:ext uri="{FF2B5EF4-FFF2-40B4-BE49-F238E27FC236}">
              <a16:creationId xmlns:a16="http://schemas.microsoft.com/office/drawing/2014/main" id="{00000000-0008-0000-0000-000003000000}"/>
            </a:ext>
          </a:extLst>
        </xdr:cNvPr>
        <xdr:cNvSpPr/>
      </xdr:nvSpPr>
      <xdr:spPr>
        <a:xfrm>
          <a:off x="3823920" y="43348320"/>
          <a:ext cx="428400" cy="514080"/>
        </a:xfrm>
        <a:prstGeom prst="rect">
          <a:avLst/>
        </a:prstGeom>
        <a:solidFill>
          <a:srgbClr val="FF0000"/>
        </a:solidFill>
        <a:ln w="9525">
          <a:solidFill>
            <a:srgbClr val="000000"/>
          </a:solidFill>
          <a:miter/>
        </a:ln>
      </xdr:spPr>
      <xdr:style>
        <a:lnRef idx="0">
          <a:scrgbClr r="0" g="0" b="0"/>
        </a:lnRef>
        <a:fillRef idx="0">
          <a:scrgbClr r="0" g="0" b="0"/>
        </a:fillRef>
        <a:effectRef idx="0">
          <a:scrgbClr r="0" g="0" b="0"/>
        </a:effectRef>
        <a:fontRef idx="minor"/>
      </xdr:style>
      <xdr:txBody>
        <a:bodyPr anchor="t">
          <a:noAutofit/>
        </a:bodyPr>
        <a:lstStyle/>
        <a:p>
          <a:pPr>
            <a:lnSpc>
              <a:spcPct val="100000"/>
            </a:lnSpc>
            <a:tabLst>
              <a:tab pos="0" algn="l"/>
            </a:tabLst>
          </a:pPr>
          <a:r>
            <a:rPr lang="en-US" sz="2800" b="0" strike="noStrike" spc="-1">
              <a:solidFill>
                <a:srgbClr val="000000"/>
              </a:solidFill>
              <a:latin typeface="Calibri"/>
              <a:ea typeface="Calibri"/>
            </a:rPr>
            <a:t>4</a:t>
          </a:r>
          <a:endParaRPr lang="it-IT" sz="2800" b="0" strike="noStrike" spc="-1">
            <a:latin typeface="Times New Roman"/>
          </a:endParaRPr>
        </a:p>
      </xdr:txBody>
    </xdr:sp>
    <xdr:clientData/>
  </xdr:twoCellAnchor>
  <xdr:twoCellAnchor editAs="oneCell">
    <xdr:from>
      <xdr:col>5</xdr:col>
      <xdr:colOff>0</xdr:colOff>
      <xdr:row>164</xdr:row>
      <xdr:rowOff>47520</xdr:rowOff>
    </xdr:from>
    <xdr:to>
      <xdr:col>5</xdr:col>
      <xdr:colOff>437760</xdr:colOff>
      <xdr:row>164</xdr:row>
      <xdr:rowOff>590040</xdr:rowOff>
    </xdr:to>
    <xdr:sp macro="" textlink="">
      <xdr:nvSpPr>
        <xdr:cNvPr id="4" name="Shape 5">
          <a:extLst>
            <a:ext uri="{FF2B5EF4-FFF2-40B4-BE49-F238E27FC236}">
              <a16:creationId xmlns:a16="http://schemas.microsoft.com/office/drawing/2014/main" id="{00000000-0008-0000-0000-000004000000}"/>
            </a:ext>
          </a:extLst>
        </xdr:cNvPr>
        <xdr:cNvSpPr/>
      </xdr:nvSpPr>
      <xdr:spPr>
        <a:xfrm>
          <a:off x="3766680" y="40290480"/>
          <a:ext cx="437760" cy="542520"/>
        </a:xfrm>
        <a:prstGeom prst="rect">
          <a:avLst/>
        </a:prstGeom>
        <a:solidFill>
          <a:srgbClr val="FF0000"/>
        </a:solidFill>
        <a:ln w="9525">
          <a:solidFill>
            <a:srgbClr val="000000"/>
          </a:solidFill>
          <a:miter/>
        </a:ln>
      </xdr:spPr>
      <xdr:style>
        <a:lnRef idx="0">
          <a:scrgbClr r="0" g="0" b="0"/>
        </a:lnRef>
        <a:fillRef idx="0">
          <a:scrgbClr r="0" g="0" b="0"/>
        </a:fillRef>
        <a:effectRef idx="0">
          <a:scrgbClr r="0" g="0" b="0"/>
        </a:effectRef>
        <a:fontRef idx="minor"/>
      </xdr:style>
      <xdr:txBody>
        <a:bodyPr anchor="t">
          <a:noAutofit/>
        </a:bodyPr>
        <a:lstStyle/>
        <a:p>
          <a:pPr>
            <a:lnSpc>
              <a:spcPct val="100000"/>
            </a:lnSpc>
            <a:tabLst>
              <a:tab pos="0" algn="l"/>
            </a:tabLst>
          </a:pPr>
          <a:r>
            <a:rPr lang="en-US" sz="2800" b="0" strike="noStrike" spc="-1">
              <a:solidFill>
                <a:srgbClr val="000000"/>
              </a:solidFill>
              <a:latin typeface="Calibri"/>
              <a:ea typeface="Calibri"/>
            </a:rPr>
            <a:t>2</a:t>
          </a:r>
          <a:endParaRPr lang="it-IT" sz="2800" b="0" strike="noStrike" spc="-1">
            <a:latin typeface="Times New Roman"/>
          </a:endParaRPr>
        </a:p>
      </xdr:txBody>
    </xdr:sp>
    <xdr:clientData/>
  </xdr:twoCellAnchor>
  <xdr:twoCellAnchor editAs="oneCell">
    <xdr:from>
      <xdr:col>0</xdr:col>
      <xdr:colOff>19080</xdr:colOff>
      <xdr:row>164</xdr:row>
      <xdr:rowOff>66600</xdr:rowOff>
    </xdr:from>
    <xdr:to>
      <xdr:col>0</xdr:col>
      <xdr:colOff>437760</xdr:colOff>
      <xdr:row>164</xdr:row>
      <xdr:rowOff>580680</xdr:rowOff>
    </xdr:to>
    <xdr:sp macro="" textlink="">
      <xdr:nvSpPr>
        <xdr:cNvPr id="5" name="Shape 6">
          <a:extLst>
            <a:ext uri="{FF2B5EF4-FFF2-40B4-BE49-F238E27FC236}">
              <a16:creationId xmlns:a16="http://schemas.microsoft.com/office/drawing/2014/main" id="{00000000-0008-0000-0000-000005000000}"/>
            </a:ext>
          </a:extLst>
        </xdr:cNvPr>
        <xdr:cNvSpPr/>
      </xdr:nvSpPr>
      <xdr:spPr>
        <a:xfrm>
          <a:off x="19080" y="40309560"/>
          <a:ext cx="418680" cy="514080"/>
        </a:xfrm>
        <a:prstGeom prst="rect">
          <a:avLst/>
        </a:prstGeom>
        <a:solidFill>
          <a:srgbClr val="FF0000"/>
        </a:solidFill>
        <a:ln w="9525">
          <a:solidFill>
            <a:srgbClr val="000000"/>
          </a:solidFill>
          <a:miter/>
        </a:ln>
      </xdr:spPr>
      <xdr:style>
        <a:lnRef idx="0">
          <a:scrgbClr r="0" g="0" b="0"/>
        </a:lnRef>
        <a:fillRef idx="0">
          <a:scrgbClr r="0" g="0" b="0"/>
        </a:fillRef>
        <a:effectRef idx="0">
          <a:scrgbClr r="0" g="0" b="0"/>
        </a:effectRef>
        <a:fontRef idx="minor"/>
      </xdr:style>
      <xdr:txBody>
        <a:bodyPr anchor="t">
          <a:noAutofit/>
        </a:bodyPr>
        <a:lstStyle/>
        <a:p>
          <a:pPr>
            <a:lnSpc>
              <a:spcPct val="100000"/>
            </a:lnSpc>
            <a:tabLst>
              <a:tab pos="0" algn="l"/>
            </a:tabLst>
          </a:pPr>
          <a:r>
            <a:rPr lang="en-US" sz="2800" b="0" strike="noStrike" spc="-1">
              <a:solidFill>
                <a:srgbClr val="000000"/>
              </a:solidFill>
              <a:latin typeface="Calibri"/>
              <a:ea typeface="Calibri"/>
            </a:rPr>
            <a:t>1</a:t>
          </a:r>
          <a:endParaRPr lang="it-IT" sz="2800" b="0" strike="noStrike" spc="-1">
            <a:latin typeface="Times New Roman"/>
          </a:endParaRPr>
        </a:p>
      </xdr:txBody>
    </xdr:sp>
    <xdr:clientData/>
  </xdr:twoCellAnchor>
  <xdr:twoCellAnchor editAs="oneCell">
    <xdr:from>
      <xdr:col>5</xdr:col>
      <xdr:colOff>66600</xdr:colOff>
      <xdr:row>179</xdr:row>
      <xdr:rowOff>66600</xdr:rowOff>
    </xdr:from>
    <xdr:to>
      <xdr:col>5</xdr:col>
      <xdr:colOff>495000</xdr:colOff>
      <xdr:row>182</xdr:row>
      <xdr:rowOff>28080</xdr:rowOff>
    </xdr:to>
    <xdr:sp macro="" textlink="">
      <xdr:nvSpPr>
        <xdr:cNvPr id="6" name="Shape 7">
          <a:extLst>
            <a:ext uri="{FF2B5EF4-FFF2-40B4-BE49-F238E27FC236}">
              <a16:creationId xmlns:a16="http://schemas.microsoft.com/office/drawing/2014/main" id="{00000000-0008-0000-0000-000006000000}"/>
            </a:ext>
          </a:extLst>
        </xdr:cNvPr>
        <xdr:cNvSpPr/>
      </xdr:nvSpPr>
      <xdr:spPr>
        <a:xfrm>
          <a:off x="3833280" y="44357760"/>
          <a:ext cx="428400" cy="561600"/>
        </a:xfrm>
        <a:prstGeom prst="rect">
          <a:avLst/>
        </a:prstGeom>
        <a:solidFill>
          <a:srgbClr val="FF0000"/>
        </a:solidFill>
        <a:ln w="9525">
          <a:solidFill>
            <a:srgbClr val="000000"/>
          </a:solidFill>
          <a:miter/>
        </a:ln>
      </xdr:spPr>
      <xdr:style>
        <a:lnRef idx="0">
          <a:scrgbClr r="0" g="0" b="0"/>
        </a:lnRef>
        <a:fillRef idx="0">
          <a:scrgbClr r="0" g="0" b="0"/>
        </a:fillRef>
        <a:effectRef idx="0">
          <a:scrgbClr r="0" g="0" b="0"/>
        </a:effectRef>
        <a:fontRef idx="minor"/>
      </xdr:style>
      <xdr:txBody>
        <a:bodyPr anchor="t">
          <a:noAutofit/>
        </a:bodyPr>
        <a:lstStyle/>
        <a:p>
          <a:pPr>
            <a:lnSpc>
              <a:spcPct val="100000"/>
            </a:lnSpc>
            <a:tabLst>
              <a:tab pos="0" algn="l"/>
            </a:tabLst>
          </a:pPr>
          <a:r>
            <a:rPr lang="en-US" sz="2800" b="0" strike="noStrike" spc="-1">
              <a:solidFill>
                <a:srgbClr val="000000"/>
              </a:solidFill>
              <a:latin typeface="Calibri"/>
              <a:ea typeface="Calibri"/>
            </a:rPr>
            <a:t>5</a:t>
          </a:r>
          <a:endParaRPr lang="it-IT" sz="2800" b="0" strike="noStrike" spc="-1">
            <a:latin typeface="Times New Roman"/>
          </a:endParaRPr>
        </a:p>
      </xdr:txBody>
    </xdr:sp>
    <xdr:clientData/>
  </xdr:twoCellAnchor>
  <xdr:twoCellAnchor editAs="oneCell">
    <xdr:from>
      <xdr:col>5</xdr:col>
      <xdr:colOff>114480</xdr:colOff>
      <xdr:row>185</xdr:row>
      <xdr:rowOff>0</xdr:rowOff>
    </xdr:from>
    <xdr:to>
      <xdr:col>5</xdr:col>
      <xdr:colOff>533160</xdr:colOff>
      <xdr:row>187</xdr:row>
      <xdr:rowOff>187100</xdr:rowOff>
    </xdr:to>
    <xdr:sp macro="" textlink="">
      <xdr:nvSpPr>
        <xdr:cNvPr id="7" name="Shape 8">
          <a:extLst>
            <a:ext uri="{FF2B5EF4-FFF2-40B4-BE49-F238E27FC236}">
              <a16:creationId xmlns:a16="http://schemas.microsoft.com/office/drawing/2014/main" id="{00000000-0008-0000-0000-000007000000}"/>
            </a:ext>
          </a:extLst>
        </xdr:cNvPr>
        <xdr:cNvSpPr/>
      </xdr:nvSpPr>
      <xdr:spPr>
        <a:xfrm>
          <a:off x="3881160" y="45491400"/>
          <a:ext cx="418680" cy="599760"/>
        </a:xfrm>
        <a:prstGeom prst="rect">
          <a:avLst/>
        </a:prstGeom>
        <a:solidFill>
          <a:srgbClr val="FF0000"/>
        </a:solidFill>
        <a:ln w="9525">
          <a:solidFill>
            <a:srgbClr val="000000"/>
          </a:solidFill>
          <a:miter/>
        </a:ln>
      </xdr:spPr>
      <xdr:style>
        <a:lnRef idx="0">
          <a:scrgbClr r="0" g="0" b="0"/>
        </a:lnRef>
        <a:fillRef idx="0">
          <a:scrgbClr r="0" g="0" b="0"/>
        </a:fillRef>
        <a:effectRef idx="0">
          <a:scrgbClr r="0" g="0" b="0"/>
        </a:effectRef>
        <a:fontRef idx="minor"/>
      </xdr:style>
      <xdr:txBody>
        <a:bodyPr anchor="t">
          <a:noAutofit/>
        </a:bodyPr>
        <a:lstStyle/>
        <a:p>
          <a:pPr>
            <a:lnSpc>
              <a:spcPct val="100000"/>
            </a:lnSpc>
            <a:tabLst>
              <a:tab pos="0" algn="l"/>
            </a:tabLst>
          </a:pPr>
          <a:r>
            <a:rPr lang="en-US" sz="2800" b="0" strike="noStrike" spc="-1">
              <a:solidFill>
                <a:srgbClr val="000000"/>
              </a:solidFill>
              <a:latin typeface="Calibri"/>
              <a:ea typeface="Calibri"/>
            </a:rPr>
            <a:t>6</a:t>
          </a:r>
          <a:endParaRPr lang="it-IT" sz="2800" b="0" strike="noStrike" spc="-1">
            <a:latin typeface="Times New Roman"/>
          </a:endParaRPr>
        </a:p>
      </xdr:txBody>
    </xdr:sp>
    <xdr:clientData/>
  </xdr:twoCellAnchor>
  <xdr:twoCellAnchor editAs="oneCell">
    <xdr:from>
      <xdr:col>8</xdr:col>
      <xdr:colOff>28440</xdr:colOff>
      <xdr:row>0</xdr:row>
      <xdr:rowOff>19080</xdr:rowOff>
    </xdr:from>
    <xdr:to>
      <xdr:col>9</xdr:col>
      <xdr:colOff>442800</xdr:colOff>
      <xdr:row>1</xdr:row>
      <xdr:rowOff>123480</xdr:rowOff>
    </xdr:to>
    <xdr:pic>
      <xdr:nvPicPr>
        <xdr:cNvPr id="8" name="image1.png">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stretch/>
      </xdr:blipFill>
      <xdr:spPr>
        <a:xfrm>
          <a:off x="5637240" y="19080"/>
          <a:ext cx="1028520" cy="294840"/>
        </a:xfrm>
        <a:prstGeom prst="rect">
          <a:avLst/>
        </a:prstGeom>
        <a:ln w="0">
          <a:noFill/>
        </a:ln>
      </xdr:spPr>
    </xdr:pic>
    <xdr:clientData/>
  </xdr:twoCellAnchor>
  <xdr:twoCellAnchor editAs="oneCell">
    <xdr:from>
      <xdr:col>0</xdr:col>
      <xdr:colOff>0</xdr:colOff>
      <xdr:row>159</xdr:row>
      <xdr:rowOff>0</xdr:rowOff>
    </xdr:from>
    <xdr:to>
      <xdr:col>10</xdr:col>
      <xdr:colOff>27589</xdr:colOff>
      <xdr:row>160</xdr:row>
      <xdr:rowOff>160920</xdr:rowOff>
    </xdr:to>
    <xdr:pic>
      <xdr:nvPicPr>
        <xdr:cNvPr id="9" name="image2.png">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2"/>
        <a:stretch/>
      </xdr:blipFill>
      <xdr:spPr>
        <a:xfrm>
          <a:off x="0" y="34775640"/>
          <a:ext cx="6450120" cy="4761720"/>
        </a:xfrm>
        <a:prstGeom prst="rect">
          <a:avLst/>
        </a:prstGeom>
        <a:ln w="0">
          <a:noFill/>
        </a:ln>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venezia@cri.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4"/>
  <sheetViews>
    <sheetView showGridLines="0" tabSelected="1" topLeftCell="A160" zoomScale="140" zoomScaleNormal="140" workbookViewId="0">
      <selection activeCell="L95" sqref="L95"/>
    </sheetView>
  </sheetViews>
  <sheetFormatPr baseColWidth="10" defaultColWidth="14.5" defaultRowHeight="15"/>
  <cols>
    <col min="1" max="1" width="9.33203125" customWidth="1"/>
    <col min="2" max="2" width="9.5" customWidth="1"/>
    <col min="3" max="3" width="10.1640625" customWidth="1"/>
    <col min="4" max="4" width="11.1640625" customWidth="1"/>
    <col min="5" max="5" width="9.6640625" customWidth="1"/>
    <col min="6" max="6" width="8.6640625" customWidth="1"/>
    <col min="7" max="7" width="7.83203125" customWidth="1"/>
    <col min="8" max="8" width="7.5" customWidth="1"/>
    <col min="9" max="9" width="8.6640625" customWidth="1"/>
    <col min="10" max="10" width="8.5" customWidth="1"/>
  </cols>
  <sheetData>
    <row r="1" spans="1:10">
      <c r="A1" s="3"/>
      <c r="H1" s="4" t="s">
        <v>0</v>
      </c>
      <c r="I1" s="85"/>
      <c r="J1" s="85"/>
    </row>
    <row r="2" spans="1:10">
      <c r="H2" s="4" t="s">
        <v>1</v>
      </c>
      <c r="I2" s="85"/>
      <c r="J2" s="85"/>
    </row>
    <row r="4" spans="1:10" ht="23.25" customHeight="1">
      <c r="A4" s="86" t="s">
        <v>2</v>
      </c>
      <c r="B4" s="86"/>
      <c r="C4" s="86"/>
      <c r="D4" s="86"/>
      <c r="E4" s="86"/>
      <c r="F4" s="86"/>
      <c r="G4" s="86"/>
      <c r="H4" s="86"/>
      <c r="I4" s="86"/>
      <c r="J4" s="86"/>
    </row>
    <row r="5" spans="1:10" ht="23.25" customHeight="1">
      <c r="A5" s="86" t="s">
        <v>3</v>
      </c>
      <c r="B5" s="86"/>
      <c r="C5" s="86"/>
      <c r="D5" s="86"/>
      <c r="E5" s="86"/>
      <c r="F5" s="86"/>
      <c r="G5" s="86"/>
      <c r="H5" s="86"/>
      <c r="I5" s="86"/>
      <c r="J5" s="86"/>
    </row>
    <row r="6" spans="1:10" ht="15.75" customHeight="1">
      <c r="B6" s="2"/>
      <c r="C6" s="87" t="s">
        <v>4</v>
      </c>
      <c r="D6" s="87"/>
      <c r="E6" s="87"/>
      <c r="F6" s="87"/>
      <c r="G6" s="87"/>
      <c r="H6" s="87"/>
      <c r="I6" s="2"/>
      <c r="J6" s="2"/>
    </row>
    <row r="7" spans="1:10" ht="15.75" customHeight="1">
      <c r="A7" s="5"/>
      <c r="B7" s="2"/>
      <c r="C7" s="2"/>
      <c r="D7" s="6"/>
      <c r="E7" s="6"/>
      <c r="F7" s="2"/>
      <c r="G7" s="2"/>
      <c r="H7" s="2"/>
      <c r="I7" s="2"/>
      <c r="J7" s="2"/>
    </row>
    <row r="8" spans="1:10" ht="15.75" customHeight="1">
      <c r="A8" s="88" t="s">
        <v>5</v>
      </c>
      <c r="B8" s="88"/>
      <c r="C8" s="89"/>
      <c r="D8" s="89"/>
      <c r="E8" s="89"/>
      <c r="F8" s="89"/>
      <c r="G8" s="89"/>
      <c r="H8" s="89"/>
      <c r="I8" s="89"/>
      <c r="J8" s="89"/>
    </row>
    <row r="9" spans="1:10" ht="15.75" customHeight="1">
      <c r="A9" s="88" t="s">
        <v>6</v>
      </c>
      <c r="B9" s="88"/>
      <c r="C9" s="90"/>
      <c r="D9" s="90"/>
      <c r="E9" s="90"/>
      <c r="F9" s="90"/>
      <c r="G9" s="90"/>
      <c r="H9" s="90"/>
      <c r="I9" s="90"/>
      <c r="J9" s="90"/>
    </row>
    <row r="10" spans="1:10" ht="15.75" customHeight="1">
      <c r="A10" s="88" t="s">
        <v>7</v>
      </c>
      <c r="B10" s="88"/>
      <c r="C10" s="90"/>
      <c r="D10" s="90"/>
      <c r="E10" s="90"/>
      <c r="F10" s="90"/>
      <c r="G10" s="90"/>
      <c r="H10" s="90"/>
      <c r="I10" s="90"/>
      <c r="J10" s="90"/>
    </row>
    <row r="11" spans="1:10" ht="15.75" customHeight="1">
      <c r="A11" s="88" t="s">
        <v>8</v>
      </c>
      <c r="B11" s="88"/>
      <c r="C11" s="89"/>
      <c r="D11" s="89"/>
      <c r="E11" s="89"/>
      <c r="F11" s="89"/>
      <c r="G11" s="89"/>
      <c r="H11" s="89"/>
      <c r="I11" s="89"/>
      <c r="J11" s="89"/>
    </row>
    <row r="12" spans="1:10" ht="15.75" customHeight="1">
      <c r="A12" s="91"/>
      <c r="B12" s="91"/>
      <c r="C12" s="91"/>
      <c r="D12" s="91"/>
      <c r="E12" s="91"/>
      <c r="F12" s="91"/>
      <c r="G12" s="91"/>
      <c r="H12" s="91"/>
      <c r="I12" s="91"/>
      <c r="J12" s="91"/>
    </row>
    <row r="13" spans="1:10" ht="15.75" customHeight="1">
      <c r="A13" s="92" t="s">
        <v>9</v>
      </c>
      <c r="B13" s="92"/>
      <c r="C13" s="92"/>
      <c r="D13" s="92"/>
      <c r="E13" s="92"/>
      <c r="F13" s="92"/>
      <c r="G13" s="92"/>
      <c r="H13" s="92"/>
      <c r="I13" s="92"/>
      <c r="J13" s="92"/>
    </row>
    <row r="14" spans="1:10" ht="15.75" customHeight="1">
      <c r="A14" s="93" t="s">
        <v>10</v>
      </c>
      <c r="B14" s="93"/>
      <c r="C14" s="94"/>
      <c r="D14" s="94"/>
      <c r="E14" s="94"/>
      <c r="F14" s="93" t="s">
        <v>11</v>
      </c>
      <c r="G14" s="93"/>
      <c r="H14" s="95"/>
      <c r="I14" s="95"/>
      <c r="J14" s="95"/>
    </row>
    <row r="15" spans="1:10" ht="15.75" customHeight="1">
      <c r="A15" s="93" t="s">
        <v>10</v>
      </c>
      <c r="B15" s="93"/>
      <c r="C15" s="94"/>
      <c r="D15" s="94"/>
      <c r="E15" s="94"/>
      <c r="F15" s="93" t="s">
        <v>11</v>
      </c>
      <c r="G15" s="93"/>
      <c r="H15" s="95"/>
      <c r="I15" s="95"/>
      <c r="J15" s="95"/>
    </row>
    <row r="16" spans="1:10" ht="15.75" customHeight="1">
      <c r="A16" s="5"/>
      <c r="B16" s="2"/>
      <c r="C16" s="2"/>
      <c r="D16" s="6"/>
      <c r="E16" s="6"/>
      <c r="F16" s="2"/>
      <c r="G16" s="2"/>
      <c r="H16" s="2"/>
      <c r="I16" s="2"/>
      <c r="J16" s="2"/>
    </row>
    <row r="17" spans="1:10">
      <c r="A17" s="7" t="s">
        <v>12</v>
      </c>
    </row>
    <row r="18" spans="1:10">
      <c r="A18" s="8"/>
    </row>
    <row r="19" spans="1:10" ht="15" customHeight="1">
      <c r="A19" s="96" t="s">
        <v>13</v>
      </c>
      <c r="B19" s="96"/>
      <c r="C19" s="97" t="s">
        <v>408</v>
      </c>
      <c r="D19" s="97"/>
      <c r="E19" s="97"/>
      <c r="F19" s="97"/>
      <c r="G19" s="97"/>
      <c r="H19" s="97"/>
      <c r="I19" s="97"/>
      <c r="J19" s="97"/>
    </row>
    <row r="20" spans="1:10" ht="15" customHeight="1">
      <c r="A20" s="96" t="s">
        <v>14</v>
      </c>
      <c r="B20" s="96"/>
      <c r="C20" s="97" t="s">
        <v>409</v>
      </c>
      <c r="D20" s="97"/>
      <c r="E20" s="97"/>
      <c r="F20" s="97"/>
      <c r="G20" s="97"/>
      <c r="H20" s="97"/>
      <c r="I20" s="97"/>
      <c r="J20" s="97"/>
    </row>
    <row r="21" spans="1:10" ht="15" customHeight="1">
      <c r="A21" s="96" t="s">
        <v>15</v>
      </c>
      <c r="B21" s="96"/>
      <c r="C21" s="97">
        <v>4210150274</v>
      </c>
      <c r="D21" s="97"/>
      <c r="E21" s="97"/>
      <c r="F21" s="97"/>
      <c r="G21" s="97"/>
      <c r="H21" s="97"/>
      <c r="I21" s="97"/>
      <c r="J21" s="97"/>
    </row>
    <row r="22" spans="1:10" ht="15" customHeight="1">
      <c r="A22" s="96" t="s">
        <v>16</v>
      </c>
      <c r="B22" s="96"/>
      <c r="C22" s="98"/>
      <c r="D22" s="98"/>
      <c r="E22" s="98"/>
      <c r="F22" s="98"/>
      <c r="G22" s="98"/>
      <c r="H22" s="98"/>
      <c r="I22" s="98"/>
      <c r="J22" s="98"/>
    </row>
    <row r="23" spans="1:10" ht="15.75" customHeight="1">
      <c r="A23" s="96" t="s">
        <v>17</v>
      </c>
      <c r="B23" s="96"/>
      <c r="C23" s="97"/>
      <c r="D23" s="97"/>
      <c r="E23" s="97"/>
      <c r="F23" s="97"/>
      <c r="G23" s="97"/>
      <c r="H23" s="97"/>
      <c r="I23" s="97"/>
      <c r="J23" s="97"/>
    </row>
    <row r="24" spans="1:10" ht="15" customHeight="1">
      <c r="A24" s="96" t="s">
        <v>18</v>
      </c>
      <c r="B24" s="96"/>
      <c r="C24" s="97" t="s">
        <v>410</v>
      </c>
      <c r="D24" s="97"/>
      <c r="E24" s="97"/>
      <c r="F24" s="97"/>
      <c r="G24" s="97"/>
      <c r="H24" s="97"/>
      <c r="I24" s="97"/>
      <c r="J24" s="97"/>
    </row>
    <row r="25" spans="1:10" ht="15" customHeight="1">
      <c r="A25" s="96"/>
      <c r="B25" s="96"/>
      <c r="C25" s="97"/>
      <c r="D25" s="97"/>
      <c r="E25" s="97"/>
      <c r="F25" s="97"/>
      <c r="G25" s="97"/>
      <c r="H25" s="97"/>
      <c r="I25" s="97"/>
      <c r="J25" s="97"/>
    </row>
    <row r="26" spans="1:10" ht="15.75" customHeight="1">
      <c r="A26" s="1" t="s">
        <v>19</v>
      </c>
      <c r="B26" s="99" t="s">
        <v>411</v>
      </c>
      <c r="C26" s="99"/>
      <c r="D26" s="99"/>
      <c r="E26" s="99"/>
      <c r="F26" s="1" t="s">
        <v>20</v>
      </c>
      <c r="G26" s="100" t="s">
        <v>412</v>
      </c>
      <c r="H26" s="97"/>
      <c r="I26" s="97"/>
      <c r="J26" s="97"/>
    </row>
    <row r="27" spans="1:10" ht="15.75" customHeight="1">
      <c r="A27" s="1" t="s">
        <v>21</v>
      </c>
      <c r="B27" s="99"/>
      <c r="C27" s="99"/>
      <c r="D27" s="99"/>
      <c r="E27" s="99"/>
      <c r="F27" s="1" t="s">
        <v>22</v>
      </c>
      <c r="G27" s="96"/>
      <c r="H27" s="96"/>
      <c r="I27" s="96"/>
      <c r="J27" s="96"/>
    </row>
    <row r="28" spans="1:10" ht="15.75" customHeight="1"/>
    <row r="29" spans="1:10">
      <c r="A29" s="7" t="s">
        <v>23</v>
      </c>
    </row>
    <row r="31" spans="1:10" ht="15.75" customHeight="1">
      <c r="A31" s="96" t="s">
        <v>24</v>
      </c>
      <c r="B31" s="96"/>
      <c r="C31" s="89"/>
      <c r="D31" s="89"/>
      <c r="E31" s="89"/>
      <c r="F31" s="89"/>
      <c r="G31" s="89"/>
      <c r="H31" s="89"/>
      <c r="I31" s="89"/>
      <c r="J31" s="89"/>
    </row>
    <row r="32" spans="1:10" ht="15.75" customHeight="1">
      <c r="A32" s="89" t="s">
        <v>14</v>
      </c>
      <c r="B32" s="89"/>
      <c r="C32" s="89"/>
      <c r="D32" s="89"/>
      <c r="E32" s="89"/>
      <c r="F32" s="89"/>
      <c r="G32" s="89"/>
      <c r="H32" s="89"/>
      <c r="I32" s="89"/>
      <c r="J32" s="89"/>
    </row>
    <row r="33" spans="1:10" ht="15.75" customHeight="1">
      <c r="A33" s="89" t="s">
        <v>25</v>
      </c>
      <c r="B33" s="89"/>
      <c r="C33" s="96"/>
      <c r="D33" s="96"/>
      <c r="E33" s="96"/>
      <c r="F33" s="96"/>
      <c r="G33" s="96"/>
      <c r="H33" s="96"/>
      <c r="I33" s="96"/>
      <c r="J33" s="96"/>
    </row>
    <row r="34" spans="1:10" ht="15.75" customHeight="1">
      <c r="A34" s="89" t="s">
        <v>26</v>
      </c>
      <c r="B34" s="89"/>
      <c r="C34" s="101"/>
      <c r="D34" s="101"/>
      <c r="E34" s="101"/>
      <c r="F34" s="1" t="s">
        <v>20</v>
      </c>
      <c r="G34" s="90"/>
      <c r="H34" s="90"/>
      <c r="I34" s="90"/>
      <c r="J34" s="90"/>
    </row>
    <row r="35" spans="1:10" ht="15.75" customHeight="1">
      <c r="A35" s="96" t="s">
        <v>27</v>
      </c>
      <c r="B35" s="96"/>
      <c r="C35" s="101"/>
      <c r="D35" s="101"/>
      <c r="E35" s="101"/>
      <c r="F35" s="1" t="s">
        <v>22</v>
      </c>
      <c r="G35" s="102"/>
      <c r="H35" s="102"/>
      <c r="I35" s="102"/>
      <c r="J35" s="102"/>
    </row>
    <row r="36" spans="1:10" ht="15.75" customHeight="1"/>
    <row r="37" spans="1:10" ht="15.75" customHeight="1">
      <c r="A37" s="7" t="s">
        <v>28</v>
      </c>
    </row>
    <row r="38" spans="1:10" ht="15.75" customHeight="1">
      <c r="A38" s="229"/>
      <c r="B38" s="229"/>
      <c r="C38" s="229"/>
      <c r="D38" s="229"/>
      <c r="E38" s="229"/>
      <c r="F38" s="229"/>
      <c r="G38" s="229"/>
      <c r="H38" s="229"/>
      <c r="I38" s="229"/>
      <c r="J38" s="229"/>
    </row>
    <row r="39" spans="1:10" ht="15.75" customHeight="1">
      <c r="A39" s="231"/>
      <c r="B39" s="231"/>
      <c r="C39" s="231"/>
      <c r="D39" s="231"/>
      <c r="E39" s="231"/>
      <c r="F39" s="231"/>
      <c r="G39" s="231"/>
      <c r="H39" s="231"/>
      <c r="I39" s="231"/>
      <c r="J39" s="231"/>
    </row>
    <row r="40" spans="1:10" ht="15.75" customHeight="1">
      <c r="A40" s="230"/>
      <c r="B40" s="230"/>
      <c r="C40" s="230"/>
      <c r="D40" s="230"/>
      <c r="E40" s="230"/>
      <c r="F40" s="230"/>
      <c r="G40" s="230"/>
      <c r="H40" s="230"/>
      <c r="I40" s="230"/>
      <c r="J40" s="230"/>
    </row>
    <row r="41" spans="1:10" ht="15.75" customHeight="1">
      <c r="A41" s="230"/>
      <c r="B41" s="230"/>
      <c r="C41" s="230"/>
      <c r="D41" s="230"/>
      <c r="E41" s="230"/>
      <c r="F41" s="230"/>
      <c r="G41" s="230"/>
      <c r="H41" s="230"/>
      <c r="I41" s="230"/>
      <c r="J41" s="230"/>
    </row>
    <row r="42" spans="1:10" ht="15.75" customHeight="1"/>
    <row r="43" spans="1:10" ht="15.75" customHeight="1">
      <c r="A43" s="7" t="s">
        <v>29</v>
      </c>
      <c r="G43" s="24"/>
      <c r="H43" s="83" t="s">
        <v>30</v>
      </c>
      <c r="I43" s="24"/>
      <c r="J43" s="84" t="s">
        <v>31</v>
      </c>
    </row>
    <row r="44" spans="1:10" ht="15.75" customHeight="1"/>
    <row r="45" spans="1:10" ht="15.75" customHeight="1"/>
    <row r="46" spans="1:10" ht="15.75" customHeight="1"/>
    <row r="47" spans="1:10" ht="15.75" customHeight="1">
      <c r="A47" s="7" t="s">
        <v>32</v>
      </c>
    </row>
    <row r="48" spans="1:10" ht="15.75" customHeight="1">
      <c r="A48" s="9"/>
    </row>
    <row r="49" spans="1:10" ht="26.25" customHeight="1">
      <c r="A49" s="103" t="s">
        <v>33</v>
      </c>
      <c r="B49" s="103"/>
      <c r="C49" s="103" t="s">
        <v>34</v>
      </c>
      <c r="D49" s="103"/>
      <c r="E49" s="104" t="s">
        <v>35</v>
      </c>
      <c r="F49" s="104"/>
      <c r="G49" s="10" t="s">
        <v>36</v>
      </c>
      <c r="H49" s="104" t="s">
        <v>37</v>
      </c>
      <c r="I49" s="104"/>
      <c r="J49" s="11" t="s">
        <v>38</v>
      </c>
    </row>
    <row r="50" spans="1:10" ht="15.75" customHeight="1">
      <c r="A50" s="105" t="s">
        <v>39</v>
      </c>
      <c r="B50" s="105"/>
      <c r="C50" s="106" t="s">
        <v>40</v>
      </c>
      <c r="D50" s="106"/>
      <c r="E50" s="105" t="s">
        <v>41</v>
      </c>
      <c r="F50" s="105"/>
      <c r="G50" s="12">
        <v>0</v>
      </c>
      <c r="H50" s="105">
        <v>0</v>
      </c>
      <c r="I50" s="105"/>
      <c r="J50" s="12"/>
    </row>
    <row r="51" spans="1:10" ht="16.5" customHeight="1">
      <c r="A51" s="105"/>
      <c r="B51" s="105"/>
      <c r="C51" s="106" t="s">
        <v>42</v>
      </c>
      <c r="D51" s="106"/>
      <c r="E51" s="105" t="s">
        <v>43</v>
      </c>
      <c r="F51" s="105"/>
      <c r="G51" s="12" t="s">
        <v>44</v>
      </c>
      <c r="H51" s="105">
        <v>1</v>
      </c>
      <c r="I51" s="105"/>
      <c r="J51" s="12"/>
    </row>
    <row r="52" spans="1:10" ht="16.5" customHeight="1">
      <c r="A52" s="105"/>
      <c r="B52" s="105"/>
      <c r="C52" s="106" t="s">
        <v>45</v>
      </c>
      <c r="D52" s="106"/>
      <c r="E52" s="105" t="s">
        <v>43</v>
      </c>
      <c r="F52" s="105"/>
      <c r="G52" s="12" t="s">
        <v>46</v>
      </c>
      <c r="H52" s="105">
        <v>2</v>
      </c>
      <c r="I52" s="105"/>
      <c r="J52" s="12"/>
    </row>
    <row r="53" spans="1:10" ht="15.75" customHeight="1">
      <c r="A53" s="105"/>
      <c r="B53" s="105"/>
      <c r="C53" s="106" t="s">
        <v>47</v>
      </c>
      <c r="D53" s="106"/>
      <c r="E53" s="105" t="s">
        <v>48</v>
      </c>
      <c r="F53" s="105"/>
      <c r="G53" s="12" t="s">
        <v>49</v>
      </c>
      <c r="H53" s="105">
        <v>3</v>
      </c>
      <c r="I53" s="105"/>
      <c r="J53" s="12"/>
    </row>
    <row r="54" spans="1:10" ht="15.75" customHeight="1">
      <c r="A54" s="107" t="s">
        <v>50</v>
      </c>
      <c r="B54" s="107"/>
      <c r="C54" s="108" t="s">
        <v>51</v>
      </c>
      <c r="D54" s="108"/>
      <c r="E54" s="107" t="s">
        <v>52</v>
      </c>
      <c r="F54" s="107"/>
      <c r="G54" s="14" t="s">
        <v>53</v>
      </c>
      <c r="H54" s="107">
        <v>2</v>
      </c>
      <c r="I54" s="107"/>
      <c r="J54" s="14"/>
    </row>
    <row r="55" spans="1:10" ht="15.75" customHeight="1">
      <c r="A55" s="106" t="s">
        <v>54</v>
      </c>
      <c r="B55" s="106"/>
      <c r="C55" s="106" t="s">
        <v>55</v>
      </c>
      <c r="D55" s="106"/>
      <c r="E55" s="105" t="s">
        <v>43</v>
      </c>
      <c r="F55" s="105"/>
      <c r="G55" s="12" t="s">
        <v>44</v>
      </c>
      <c r="H55" s="105">
        <v>1</v>
      </c>
      <c r="I55" s="105"/>
      <c r="J55" s="12"/>
    </row>
    <row r="56" spans="1:10" ht="25.5" customHeight="1">
      <c r="A56" s="106"/>
      <c r="B56" s="106"/>
      <c r="C56" s="106" t="s">
        <v>56</v>
      </c>
      <c r="D56" s="106"/>
      <c r="E56" s="105" t="s">
        <v>43</v>
      </c>
      <c r="F56" s="105"/>
      <c r="G56" s="12" t="s">
        <v>53</v>
      </c>
      <c r="H56" s="105">
        <v>2</v>
      </c>
      <c r="I56" s="105"/>
      <c r="J56" s="12"/>
    </row>
    <row r="57" spans="1:10" ht="24.75" customHeight="1">
      <c r="A57" s="108" t="s">
        <v>57</v>
      </c>
      <c r="B57" s="108"/>
      <c r="C57" s="108" t="s">
        <v>58</v>
      </c>
      <c r="D57" s="108"/>
      <c r="E57" s="107" t="s">
        <v>43</v>
      </c>
      <c r="F57" s="107"/>
      <c r="G57" s="15" t="s">
        <v>44</v>
      </c>
      <c r="H57" s="107">
        <v>1</v>
      </c>
      <c r="I57" s="107"/>
      <c r="J57" s="15"/>
    </row>
    <row r="58" spans="1:10" ht="39" customHeight="1">
      <c r="A58" s="108"/>
      <c r="B58" s="108"/>
      <c r="C58" s="108" t="s">
        <v>59</v>
      </c>
      <c r="D58" s="108"/>
      <c r="E58" s="107" t="s">
        <v>43</v>
      </c>
      <c r="F58" s="107"/>
      <c r="G58" s="15" t="s">
        <v>53</v>
      </c>
      <c r="H58" s="107">
        <v>2</v>
      </c>
      <c r="I58" s="107"/>
      <c r="J58" s="15"/>
    </row>
    <row r="59" spans="1:10" ht="38.25" customHeight="1">
      <c r="A59" s="108"/>
      <c r="B59" s="108"/>
      <c r="C59" s="108" t="s">
        <v>60</v>
      </c>
      <c r="D59" s="108"/>
      <c r="E59" s="107" t="s">
        <v>43</v>
      </c>
      <c r="F59" s="107"/>
      <c r="G59" s="15" t="s">
        <v>53</v>
      </c>
      <c r="H59" s="107">
        <v>3</v>
      </c>
      <c r="I59" s="107"/>
      <c r="J59" s="15"/>
    </row>
    <row r="60" spans="1:10" ht="71.25" customHeight="1">
      <c r="A60" s="108"/>
      <c r="B60" s="108"/>
      <c r="C60" s="108" t="s">
        <v>61</v>
      </c>
      <c r="D60" s="108"/>
      <c r="E60" s="107" t="s">
        <v>43</v>
      </c>
      <c r="F60" s="107"/>
      <c r="G60" s="15" t="s">
        <v>53</v>
      </c>
      <c r="H60" s="107">
        <v>2</v>
      </c>
      <c r="I60" s="107"/>
      <c r="J60" s="15"/>
    </row>
    <row r="61" spans="1:10" ht="15.75" customHeight="1">
      <c r="A61" s="105" t="s">
        <v>62</v>
      </c>
      <c r="B61" s="105"/>
      <c r="C61" s="106" t="s">
        <v>63</v>
      </c>
      <c r="D61" s="106"/>
      <c r="E61" s="105" t="s">
        <v>41</v>
      </c>
      <c r="F61" s="105"/>
      <c r="G61" s="12" t="s">
        <v>64</v>
      </c>
      <c r="H61" s="105">
        <v>0</v>
      </c>
      <c r="I61" s="105"/>
      <c r="J61" s="12"/>
    </row>
    <row r="62" spans="1:10" ht="27" customHeight="1">
      <c r="A62" s="105"/>
      <c r="B62" s="105"/>
      <c r="C62" s="106" t="s">
        <v>65</v>
      </c>
      <c r="D62" s="106"/>
      <c r="E62" s="105" t="s">
        <v>43</v>
      </c>
      <c r="F62" s="105"/>
      <c r="G62" s="12" t="s">
        <v>53</v>
      </c>
      <c r="H62" s="105">
        <v>2</v>
      </c>
      <c r="I62" s="105"/>
      <c r="J62" s="12"/>
    </row>
    <row r="63" spans="1:10" ht="15.75" customHeight="1">
      <c r="A63" s="105"/>
      <c r="B63" s="105"/>
      <c r="C63" s="106" t="s">
        <v>66</v>
      </c>
      <c r="D63" s="106"/>
      <c r="E63" s="105" t="s">
        <v>43</v>
      </c>
      <c r="F63" s="105"/>
      <c r="G63" s="12" t="s">
        <v>44</v>
      </c>
      <c r="H63" s="105"/>
      <c r="I63" s="105"/>
      <c r="J63" s="12"/>
    </row>
    <row r="64" spans="1:10" ht="27" customHeight="1">
      <c r="A64" s="105"/>
      <c r="B64" s="105"/>
      <c r="C64" s="106" t="s">
        <v>67</v>
      </c>
      <c r="D64" s="106"/>
      <c r="E64" s="105" t="s">
        <v>43</v>
      </c>
      <c r="F64" s="105"/>
      <c r="G64" s="13" t="s">
        <v>44</v>
      </c>
      <c r="H64" s="105"/>
      <c r="I64" s="105"/>
      <c r="J64" s="13"/>
    </row>
    <row r="65" spans="1:10" ht="15" customHeight="1">
      <c r="A65" s="108" t="s">
        <v>68</v>
      </c>
      <c r="B65" s="108"/>
      <c r="C65" s="108" t="s">
        <v>69</v>
      </c>
      <c r="D65" s="108"/>
      <c r="E65" s="107" t="s">
        <v>41</v>
      </c>
      <c r="F65" s="107"/>
      <c r="G65" s="15">
        <v>0</v>
      </c>
      <c r="H65" s="107">
        <v>0</v>
      </c>
      <c r="I65" s="107"/>
      <c r="J65" s="15"/>
    </row>
    <row r="66" spans="1:10" ht="15.75" customHeight="1">
      <c r="A66" s="108"/>
      <c r="B66" s="108"/>
      <c r="C66" s="108" t="s">
        <v>70</v>
      </c>
      <c r="D66" s="108"/>
      <c r="E66" s="107" t="s">
        <v>43</v>
      </c>
      <c r="F66" s="107"/>
      <c r="G66" s="15" t="s">
        <v>44</v>
      </c>
      <c r="H66" s="107">
        <v>1</v>
      </c>
      <c r="I66" s="107"/>
      <c r="J66" s="15"/>
    </row>
    <row r="67" spans="1:10" ht="15" customHeight="1">
      <c r="A67" s="108"/>
      <c r="B67" s="108"/>
      <c r="C67" s="108" t="s">
        <v>71</v>
      </c>
      <c r="D67" s="108"/>
      <c r="E67" s="107" t="s">
        <v>43</v>
      </c>
      <c r="F67" s="107"/>
      <c r="G67" s="15" t="s">
        <v>46</v>
      </c>
      <c r="H67" s="107">
        <v>3</v>
      </c>
      <c r="I67" s="107"/>
      <c r="J67" s="15"/>
    </row>
    <row r="68" spans="1:10" ht="15" customHeight="1">
      <c r="A68" s="106" t="s">
        <v>72</v>
      </c>
      <c r="B68" s="106"/>
      <c r="C68" s="106" t="s">
        <v>51</v>
      </c>
      <c r="D68" s="106"/>
      <c r="E68" s="105" t="s">
        <v>43</v>
      </c>
      <c r="F68" s="105"/>
      <c r="G68" s="13" t="s">
        <v>44</v>
      </c>
      <c r="H68" s="105">
        <v>2</v>
      </c>
      <c r="I68" s="105"/>
      <c r="J68" s="13"/>
    </row>
    <row r="69" spans="1:10" ht="24" customHeight="1">
      <c r="A69" s="106"/>
      <c r="B69" s="106"/>
      <c r="C69" s="106" t="s">
        <v>73</v>
      </c>
      <c r="D69" s="106"/>
      <c r="E69" s="105" t="s">
        <v>48</v>
      </c>
      <c r="F69" s="105"/>
      <c r="G69" s="13" t="s">
        <v>46</v>
      </c>
      <c r="H69" s="105">
        <v>3</v>
      </c>
      <c r="I69" s="105"/>
      <c r="J69" s="13"/>
    </row>
    <row r="70" spans="1:10" ht="15" customHeight="1">
      <c r="A70" s="108" t="s">
        <v>74</v>
      </c>
      <c r="B70" s="108"/>
      <c r="C70" s="108" t="s">
        <v>55</v>
      </c>
      <c r="D70" s="108"/>
      <c r="E70" s="107" t="s">
        <v>43</v>
      </c>
      <c r="F70" s="107"/>
      <c r="G70" s="15" t="s">
        <v>44</v>
      </c>
      <c r="H70" s="107">
        <v>2</v>
      </c>
      <c r="I70" s="107"/>
      <c r="J70" s="15"/>
    </row>
    <row r="71" spans="1:10" ht="15" customHeight="1">
      <c r="A71" s="108"/>
      <c r="B71" s="108"/>
      <c r="C71" s="108" t="s">
        <v>75</v>
      </c>
      <c r="D71" s="108"/>
      <c r="E71" s="107" t="s">
        <v>43</v>
      </c>
      <c r="F71" s="107"/>
      <c r="G71" s="15" t="s">
        <v>53</v>
      </c>
      <c r="H71" s="107">
        <v>1</v>
      </c>
      <c r="I71" s="107"/>
      <c r="J71" s="16"/>
    </row>
    <row r="72" spans="1:10" ht="26.25" customHeight="1">
      <c r="A72" s="105" t="s">
        <v>76</v>
      </c>
      <c r="B72" s="105"/>
      <c r="C72" s="106" t="s">
        <v>77</v>
      </c>
      <c r="D72" s="106"/>
      <c r="E72" s="105" t="s">
        <v>78</v>
      </c>
      <c r="F72" s="105"/>
      <c r="G72" s="13" t="s">
        <v>79</v>
      </c>
      <c r="H72" s="105" t="s">
        <v>80</v>
      </c>
      <c r="I72" s="105"/>
      <c r="J72" s="12"/>
    </row>
    <row r="73" spans="1:10" ht="15" customHeight="1">
      <c r="A73" s="105"/>
      <c r="B73" s="105"/>
      <c r="C73" s="106" t="s">
        <v>81</v>
      </c>
      <c r="D73" s="106"/>
      <c r="E73" s="105" t="s">
        <v>41</v>
      </c>
      <c r="F73" s="105"/>
      <c r="G73" s="12">
        <v>0</v>
      </c>
      <c r="H73" s="105">
        <v>0</v>
      </c>
      <c r="I73" s="105"/>
      <c r="J73" s="12"/>
    </row>
    <row r="74" spans="1:10" ht="15" customHeight="1">
      <c r="A74" s="107" t="s">
        <v>82</v>
      </c>
      <c r="B74" s="107"/>
      <c r="C74" s="108" t="s">
        <v>83</v>
      </c>
      <c r="D74" s="108"/>
      <c r="E74" s="108" t="s">
        <v>43</v>
      </c>
      <c r="F74" s="108"/>
      <c r="G74" s="14" t="s">
        <v>44</v>
      </c>
      <c r="H74" s="108">
        <v>1</v>
      </c>
      <c r="I74" s="108"/>
      <c r="J74" s="14"/>
    </row>
    <row r="75" spans="1:10" ht="15" customHeight="1">
      <c r="A75" s="107"/>
      <c r="B75" s="107"/>
      <c r="C75" s="108" t="s">
        <v>84</v>
      </c>
      <c r="D75" s="108"/>
      <c r="E75" s="108" t="s">
        <v>41</v>
      </c>
      <c r="F75" s="108"/>
      <c r="G75" s="14">
        <v>0</v>
      </c>
      <c r="H75" s="108">
        <v>0</v>
      </c>
      <c r="I75" s="108"/>
      <c r="J75" s="14"/>
    </row>
    <row r="76" spans="1:10" ht="30" customHeight="1">
      <c r="A76" s="106" t="s">
        <v>85</v>
      </c>
      <c r="B76" s="106"/>
      <c r="C76" s="106" t="s">
        <v>51</v>
      </c>
      <c r="D76" s="106"/>
      <c r="E76" s="106" t="s">
        <v>48</v>
      </c>
      <c r="F76" s="106"/>
      <c r="G76" s="12" t="s">
        <v>86</v>
      </c>
      <c r="H76" s="105">
        <v>3</v>
      </c>
      <c r="I76" s="105"/>
      <c r="J76" s="12"/>
    </row>
    <row r="77" spans="1:10" ht="39" customHeight="1">
      <c r="A77" s="108" t="s">
        <v>87</v>
      </c>
      <c r="B77" s="108"/>
      <c r="C77" s="107" t="s">
        <v>51</v>
      </c>
      <c r="D77" s="107"/>
      <c r="E77" s="107" t="s">
        <v>48</v>
      </c>
      <c r="F77" s="107"/>
      <c r="G77" s="15" t="s">
        <v>88</v>
      </c>
      <c r="H77" s="107">
        <v>3</v>
      </c>
      <c r="I77" s="107"/>
      <c r="J77" s="14"/>
    </row>
    <row r="78" spans="1:10" ht="15.75" customHeight="1"/>
    <row r="79" spans="1:10" ht="15.75" customHeight="1">
      <c r="A79" s="109" t="s">
        <v>89</v>
      </c>
      <c r="B79" s="109"/>
      <c r="C79" s="109"/>
      <c r="D79" s="109"/>
      <c r="E79" s="109"/>
      <c r="F79" s="109"/>
      <c r="G79" s="109"/>
      <c r="H79" s="109"/>
      <c r="I79" s="109"/>
      <c r="J79" s="109"/>
    </row>
    <row r="80" spans="1:10" ht="15" customHeight="1">
      <c r="A80" s="17" t="s">
        <v>41</v>
      </c>
      <c r="B80" s="110" t="s">
        <v>90</v>
      </c>
      <c r="C80" s="110"/>
      <c r="D80" s="110"/>
      <c r="E80" s="110"/>
      <c r="F80" s="110"/>
      <c r="G80" s="110"/>
      <c r="H80" s="110"/>
      <c r="I80" s="110"/>
      <c r="J80" s="110"/>
    </row>
    <row r="81" spans="1:10" ht="15.75" customHeight="1">
      <c r="A81" s="18" t="s">
        <v>43</v>
      </c>
      <c r="B81" s="111" t="s">
        <v>91</v>
      </c>
      <c r="C81" s="111"/>
      <c r="D81" s="111"/>
      <c r="E81" s="111"/>
      <c r="F81" s="111"/>
      <c r="G81" s="111"/>
      <c r="H81" s="111"/>
      <c r="I81" s="111"/>
      <c r="J81" s="111"/>
    </row>
    <row r="82" spans="1:10" ht="15" customHeight="1">
      <c r="A82" s="17" t="s">
        <v>48</v>
      </c>
      <c r="B82" s="110" t="s">
        <v>92</v>
      </c>
      <c r="C82" s="110"/>
      <c r="D82" s="110"/>
      <c r="E82" s="110"/>
      <c r="F82" s="110"/>
      <c r="G82" s="110"/>
      <c r="H82" s="110"/>
      <c r="I82" s="110"/>
      <c r="J82" s="110"/>
    </row>
    <row r="83" spans="1:10" ht="15.75" customHeight="1"/>
    <row r="84" spans="1:10" ht="15.75" customHeight="1">
      <c r="A84" s="109" t="s">
        <v>93</v>
      </c>
      <c r="B84" s="109"/>
      <c r="C84" s="109"/>
      <c r="D84" s="109"/>
      <c r="E84" s="109"/>
      <c r="F84" s="109"/>
      <c r="G84" s="109"/>
      <c r="H84" s="109"/>
      <c r="I84" s="109"/>
      <c r="J84" s="109"/>
    </row>
    <row r="85" spans="1:10">
      <c r="A85" s="17">
        <v>0</v>
      </c>
      <c r="B85" s="112" t="s">
        <v>94</v>
      </c>
      <c r="C85" s="112"/>
      <c r="D85" s="112"/>
      <c r="E85" s="112"/>
      <c r="F85" s="112"/>
      <c r="G85" s="112"/>
      <c r="H85" s="112"/>
      <c r="I85" s="112"/>
      <c r="J85" s="112"/>
    </row>
    <row r="86" spans="1:10" ht="15.75" customHeight="1">
      <c r="A86" s="18">
        <v>1</v>
      </c>
      <c r="B86" s="111" t="s">
        <v>95</v>
      </c>
      <c r="C86" s="111"/>
      <c r="D86" s="111"/>
      <c r="E86" s="111"/>
      <c r="F86" s="111"/>
      <c r="G86" s="111"/>
      <c r="H86" s="111"/>
      <c r="I86" s="111"/>
      <c r="J86" s="111"/>
    </row>
    <row r="87" spans="1:10" ht="15.75" customHeight="1">
      <c r="A87" s="17">
        <v>2</v>
      </c>
      <c r="B87" s="112" t="s">
        <v>96</v>
      </c>
      <c r="C87" s="112"/>
      <c r="D87" s="112"/>
      <c r="E87" s="112"/>
      <c r="F87" s="112"/>
      <c r="G87" s="112"/>
      <c r="H87" s="112"/>
      <c r="I87" s="112"/>
      <c r="J87" s="112"/>
    </row>
    <row r="88" spans="1:10" ht="15.75" customHeight="1">
      <c r="A88" s="18">
        <v>3</v>
      </c>
      <c r="B88" s="111" t="s">
        <v>97</v>
      </c>
      <c r="C88" s="111"/>
      <c r="D88" s="111"/>
      <c r="E88" s="111"/>
      <c r="F88" s="111"/>
      <c r="G88" s="111"/>
      <c r="H88" s="111"/>
      <c r="I88" s="111"/>
      <c r="J88" s="111"/>
    </row>
    <row r="89" spans="1:10" ht="15.75" customHeight="1">
      <c r="A89" s="19"/>
    </row>
    <row r="90" spans="1:10" ht="15.75" customHeight="1">
      <c r="A90" s="19" t="s">
        <v>98</v>
      </c>
    </row>
    <row r="91" spans="1:10" ht="15.75" customHeight="1">
      <c r="A91" s="19"/>
    </row>
    <row r="92" spans="1:10" ht="15.75" customHeight="1">
      <c r="A92" s="113" t="s">
        <v>99</v>
      </c>
      <c r="B92" s="113"/>
      <c r="C92" s="113"/>
      <c r="D92" s="113"/>
      <c r="E92" s="113" t="s">
        <v>100</v>
      </c>
      <c r="F92" s="113"/>
      <c r="G92" s="113"/>
      <c r="H92" s="113"/>
      <c r="I92" s="113"/>
      <c r="J92" s="113"/>
    </row>
    <row r="93" spans="1:10" ht="15.75" customHeight="1">
      <c r="A93" s="114" t="s">
        <v>101</v>
      </c>
      <c r="B93" s="236" t="s">
        <v>102</v>
      </c>
      <c r="C93" s="114" t="s">
        <v>103</v>
      </c>
      <c r="D93" s="236" t="s">
        <v>102</v>
      </c>
      <c r="E93" s="114" t="s">
        <v>104</v>
      </c>
      <c r="F93" s="236" t="s">
        <v>102</v>
      </c>
      <c r="G93" s="114" t="s">
        <v>105</v>
      </c>
      <c r="H93" s="236" t="s">
        <v>102</v>
      </c>
      <c r="I93" s="114" t="s">
        <v>106</v>
      </c>
      <c r="J93" s="236" t="s">
        <v>102</v>
      </c>
    </row>
    <row r="94" spans="1:10" ht="15.75" customHeight="1">
      <c r="A94" s="114"/>
      <c r="B94" s="114"/>
      <c r="C94" s="114"/>
      <c r="D94" s="114"/>
      <c r="E94" s="114"/>
      <c r="F94" s="114"/>
      <c r="G94" s="114"/>
      <c r="H94" s="114"/>
      <c r="I94" s="114"/>
      <c r="J94" s="114"/>
    </row>
    <row r="95" spans="1:10" ht="15.75" customHeight="1">
      <c r="A95" s="113" t="s">
        <v>107</v>
      </c>
      <c r="B95" s="113"/>
      <c r="C95" s="113"/>
      <c r="D95" s="113"/>
      <c r="E95" s="113"/>
      <c r="F95" s="113"/>
      <c r="G95" s="113"/>
      <c r="H95" s="113"/>
      <c r="I95" s="113"/>
      <c r="J95" s="113"/>
    </row>
    <row r="96" spans="1:10" ht="15.75" customHeight="1">
      <c r="A96" s="115" t="s">
        <v>108</v>
      </c>
      <c r="B96" s="96"/>
      <c r="C96" s="115" t="s">
        <v>109</v>
      </c>
      <c r="D96" s="116"/>
      <c r="E96" s="115" t="s">
        <v>110</v>
      </c>
      <c r="F96" s="117"/>
      <c r="G96" s="115" t="s">
        <v>111</v>
      </c>
      <c r="H96" s="117"/>
      <c r="I96" s="117"/>
      <c r="J96" s="116"/>
    </row>
    <row r="97" spans="1:10" ht="18.75" customHeight="1">
      <c r="A97" s="115"/>
      <c r="B97" s="115"/>
      <c r="C97" s="115"/>
      <c r="D97" s="115"/>
      <c r="E97" s="115"/>
      <c r="F97" s="117"/>
      <c r="G97" s="115"/>
      <c r="H97" s="117"/>
      <c r="I97" s="117"/>
      <c r="J97" s="116"/>
    </row>
    <row r="98" spans="1:10" ht="15" customHeight="1">
      <c r="A98" s="118" t="s">
        <v>112</v>
      </c>
      <c r="B98" s="118"/>
      <c r="C98" s="118"/>
      <c r="D98" s="118"/>
      <c r="E98" s="118"/>
      <c r="F98" s="118"/>
      <c r="G98" s="118"/>
      <c r="H98" s="118"/>
      <c r="I98" s="118"/>
      <c r="J98" s="118"/>
    </row>
    <row r="99" spans="1:10" ht="31.5" customHeight="1">
      <c r="A99" s="119" t="s">
        <v>113</v>
      </c>
      <c r="B99" s="119"/>
      <c r="C99" s="235"/>
      <c r="D99" s="235"/>
      <c r="E99" s="235"/>
      <c r="F99" s="119" t="s">
        <v>114</v>
      </c>
      <c r="G99" s="119"/>
      <c r="H99" s="232"/>
      <c r="I99" s="233"/>
      <c r="J99" s="234"/>
    </row>
    <row r="100" spans="1:10" ht="15.75" customHeight="1">
      <c r="A100" s="20"/>
      <c r="B100" s="20"/>
      <c r="C100" s="20"/>
      <c r="D100" s="20"/>
      <c r="E100" s="20"/>
      <c r="F100" s="20"/>
      <c r="G100" s="20"/>
      <c r="H100" s="20"/>
      <c r="I100" s="20"/>
      <c r="J100" s="20"/>
    </row>
    <row r="101" spans="1:10" ht="15.75" customHeight="1">
      <c r="A101" s="120" t="s">
        <v>115</v>
      </c>
      <c r="B101" s="120"/>
      <c r="C101" s="120"/>
      <c r="D101" s="120"/>
      <c r="E101" s="120"/>
      <c r="F101" s="120"/>
      <c r="G101" s="120"/>
      <c r="H101" s="120"/>
      <c r="I101" s="21" t="s">
        <v>116</v>
      </c>
      <c r="J101" s="22"/>
    </row>
    <row r="102" spans="1:10" ht="15.75" customHeight="1">
      <c r="A102" s="121" t="s">
        <v>117</v>
      </c>
      <c r="B102" s="121"/>
      <c r="C102" s="121"/>
      <c r="D102" s="122" t="s">
        <v>118</v>
      </c>
      <c r="E102" s="122"/>
      <c r="F102" s="122"/>
      <c r="G102" s="122"/>
      <c r="H102" s="122"/>
      <c r="I102" s="23">
        <v>1</v>
      </c>
      <c r="J102" s="73">
        <f>IF(I102="x",1,0)</f>
        <v>0</v>
      </c>
    </row>
    <row r="103" spans="1:10" ht="15.75" customHeight="1">
      <c r="A103" s="121"/>
      <c r="B103" s="121"/>
      <c r="C103" s="121"/>
      <c r="D103" s="122" t="s">
        <v>119</v>
      </c>
      <c r="E103" s="122"/>
      <c r="F103" s="122"/>
      <c r="G103" s="122"/>
      <c r="H103" s="122"/>
      <c r="I103" s="23">
        <v>2</v>
      </c>
      <c r="J103" s="73">
        <f>IF(I103="x",2,0)</f>
        <v>0</v>
      </c>
    </row>
    <row r="104" spans="1:10" ht="15.75" customHeight="1">
      <c r="A104" s="121"/>
      <c r="B104" s="121"/>
      <c r="C104" s="121"/>
      <c r="D104" s="122" t="s">
        <v>120</v>
      </c>
      <c r="E104" s="122"/>
      <c r="F104" s="122"/>
      <c r="G104" s="122"/>
      <c r="H104" s="122"/>
      <c r="I104" s="23">
        <v>3</v>
      </c>
      <c r="J104" s="73">
        <f>IF(I104="x",3,0)</f>
        <v>0</v>
      </c>
    </row>
    <row r="105" spans="1:10" ht="15.75" customHeight="1">
      <c r="A105" s="121"/>
      <c r="B105" s="121"/>
      <c r="C105" s="121"/>
      <c r="D105" s="123" t="s">
        <v>121</v>
      </c>
      <c r="E105" s="123"/>
      <c r="F105" s="123"/>
      <c r="G105" s="123"/>
      <c r="H105" s="123"/>
      <c r="I105" s="25">
        <v>4</v>
      </c>
      <c r="J105" s="73">
        <f>IF(I105="x",4,0)</f>
        <v>0</v>
      </c>
    </row>
    <row r="106" spans="1:10" ht="15.75" customHeight="1">
      <c r="A106" s="124" t="s">
        <v>33</v>
      </c>
      <c r="B106" s="124"/>
      <c r="C106" s="124"/>
      <c r="D106" s="125" t="s">
        <v>122</v>
      </c>
      <c r="E106" s="125"/>
      <c r="F106" s="125"/>
      <c r="G106" s="125"/>
      <c r="H106" s="125"/>
      <c r="I106" s="26">
        <v>1</v>
      </c>
      <c r="J106" s="73">
        <f>IF(I106="x",1,0)</f>
        <v>0</v>
      </c>
    </row>
    <row r="107" spans="1:10" ht="15.75" customHeight="1">
      <c r="A107" s="124"/>
      <c r="B107" s="124"/>
      <c r="C107" s="124"/>
      <c r="D107" s="122" t="s">
        <v>123</v>
      </c>
      <c r="E107" s="122"/>
      <c r="F107" s="122"/>
      <c r="G107" s="122"/>
      <c r="H107" s="122"/>
      <c r="I107" s="23">
        <v>1</v>
      </c>
      <c r="J107" s="73">
        <f t="shared" ref="J107:J129" si="0">IF(I107="x",1,0)</f>
        <v>0</v>
      </c>
    </row>
    <row r="108" spans="1:10" ht="15.75" customHeight="1">
      <c r="A108" s="124"/>
      <c r="B108" s="124"/>
      <c r="C108" s="124"/>
      <c r="D108" s="122" t="s">
        <v>124</v>
      </c>
      <c r="E108" s="122"/>
      <c r="F108" s="122"/>
      <c r="G108" s="122"/>
      <c r="H108" s="122"/>
      <c r="I108" s="23">
        <v>2</v>
      </c>
      <c r="J108" s="73">
        <f>IF(I108="x",2,0)</f>
        <v>0</v>
      </c>
    </row>
    <row r="109" spans="1:10" ht="15.75" customHeight="1">
      <c r="A109" s="124"/>
      <c r="B109" s="124"/>
      <c r="C109" s="124"/>
      <c r="D109" s="122" t="s">
        <v>125</v>
      </c>
      <c r="E109" s="122"/>
      <c r="F109" s="122"/>
      <c r="G109" s="122"/>
      <c r="H109" s="122"/>
      <c r="I109" s="23">
        <v>3</v>
      </c>
      <c r="J109" s="73">
        <f>IF(I109="x",3,0)</f>
        <v>0</v>
      </c>
    </row>
    <row r="110" spans="1:10" ht="15.75" customHeight="1">
      <c r="A110" s="124"/>
      <c r="B110" s="124"/>
      <c r="C110" s="124"/>
      <c r="D110" s="123" t="s">
        <v>126</v>
      </c>
      <c r="E110" s="123"/>
      <c r="F110" s="123"/>
      <c r="G110" s="123"/>
      <c r="H110" s="123"/>
      <c r="I110" s="25">
        <v>4</v>
      </c>
      <c r="J110" s="73">
        <f>IF(I110="x",4,0)</f>
        <v>0</v>
      </c>
    </row>
    <row r="111" spans="1:10" ht="15.75" customHeight="1">
      <c r="A111" s="124" t="s">
        <v>127</v>
      </c>
      <c r="B111" s="124"/>
      <c r="C111" s="124"/>
      <c r="D111" s="125" t="s">
        <v>128</v>
      </c>
      <c r="E111" s="125"/>
      <c r="F111" s="125"/>
      <c r="G111" s="125"/>
      <c r="H111" s="125"/>
      <c r="I111" s="27">
        <v>1</v>
      </c>
      <c r="J111" s="73">
        <f>IF(I111="x",1,0)</f>
        <v>0</v>
      </c>
    </row>
    <row r="112" spans="1:10" ht="15.75" customHeight="1">
      <c r="A112" s="124"/>
      <c r="B112" s="124"/>
      <c r="C112" s="124"/>
      <c r="D112" s="122" t="s">
        <v>129</v>
      </c>
      <c r="E112" s="122"/>
      <c r="F112" s="122"/>
      <c r="G112" s="122"/>
      <c r="H112" s="122"/>
      <c r="I112" s="23">
        <v>1</v>
      </c>
      <c r="J112" s="73">
        <f t="shared" si="0"/>
        <v>0</v>
      </c>
    </row>
    <row r="113" spans="1:10" ht="15.75" customHeight="1">
      <c r="A113" s="124"/>
      <c r="B113" s="124"/>
      <c r="C113" s="124"/>
      <c r="D113" s="122" t="s">
        <v>130</v>
      </c>
      <c r="E113" s="122"/>
      <c r="F113" s="122"/>
      <c r="G113" s="122"/>
      <c r="H113" s="122"/>
      <c r="I113" s="23">
        <v>1</v>
      </c>
      <c r="J113" s="73">
        <f t="shared" si="0"/>
        <v>0</v>
      </c>
    </row>
    <row r="114" spans="1:10" ht="15.75" customHeight="1">
      <c r="A114" s="124"/>
      <c r="B114" s="124"/>
      <c r="C114" s="124"/>
      <c r="D114" s="122" t="s">
        <v>131</v>
      </c>
      <c r="E114" s="122"/>
      <c r="F114" s="122"/>
      <c r="G114" s="122"/>
      <c r="H114" s="122"/>
      <c r="I114" s="23">
        <v>1</v>
      </c>
      <c r="J114" s="73">
        <f t="shared" si="0"/>
        <v>0</v>
      </c>
    </row>
    <row r="115" spans="1:10" ht="15.75" customHeight="1">
      <c r="A115" s="124"/>
      <c r="B115" s="124"/>
      <c r="C115" s="124"/>
      <c r="D115" s="122" t="s">
        <v>132</v>
      </c>
      <c r="E115" s="122"/>
      <c r="F115" s="122"/>
      <c r="G115" s="122"/>
      <c r="H115" s="122"/>
      <c r="I115" s="23">
        <v>1</v>
      </c>
      <c r="J115" s="73">
        <f t="shared" si="0"/>
        <v>0</v>
      </c>
    </row>
    <row r="116" spans="1:10" ht="15.75" customHeight="1">
      <c r="A116" s="124"/>
      <c r="B116" s="124"/>
      <c r="C116" s="124"/>
      <c r="D116" s="122" t="s">
        <v>133</v>
      </c>
      <c r="E116" s="122"/>
      <c r="F116" s="122"/>
      <c r="G116" s="122"/>
      <c r="H116" s="122"/>
      <c r="I116" s="23">
        <v>1</v>
      </c>
      <c r="J116" s="73">
        <f t="shared" si="0"/>
        <v>0</v>
      </c>
    </row>
    <row r="117" spans="1:10" ht="15.75" customHeight="1">
      <c r="A117" s="124"/>
      <c r="B117" s="124"/>
      <c r="C117" s="124"/>
      <c r="D117" s="123" t="s">
        <v>134</v>
      </c>
      <c r="E117" s="123"/>
      <c r="F117" s="123"/>
      <c r="G117" s="123"/>
      <c r="H117" s="123"/>
      <c r="I117" s="25">
        <v>1</v>
      </c>
      <c r="J117" s="73">
        <f t="shared" si="0"/>
        <v>0</v>
      </c>
    </row>
    <row r="118" spans="1:10" ht="15.75" customHeight="1">
      <c r="A118" s="124" t="s">
        <v>135</v>
      </c>
      <c r="B118" s="124"/>
      <c r="C118" s="124"/>
      <c r="D118" s="125" t="s">
        <v>136</v>
      </c>
      <c r="E118" s="125"/>
      <c r="F118" s="125"/>
      <c r="G118" s="125"/>
      <c r="H118" s="125"/>
      <c r="I118" s="27">
        <v>1</v>
      </c>
      <c r="J118" s="73">
        <f t="shared" si="0"/>
        <v>0</v>
      </c>
    </row>
    <row r="119" spans="1:10" ht="15.75" customHeight="1">
      <c r="A119" s="124"/>
      <c r="B119" s="124"/>
      <c r="C119" s="124"/>
      <c r="D119" s="122" t="s">
        <v>137</v>
      </c>
      <c r="E119" s="122"/>
      <c r="F119" s="122"/>
      <c r="G119" s="122"/>
      <c r="H119" s="122"/>
      <c r="I119" s="23">
        <v>2</v>
      </c>
      <c r="J119" s="73">
        <f>IF(I119="x",2,0)</f>
        <v>0</v>
      </c>
    </row>
    <row r="120" spans="1:10" ht="15.75" customHeight="1">
      <c r="A120" s="124"/>
      <c r="B120" s="124"/>
      <c r="C120" s="124"/>
      <c r="D120" s="123" t="s">
        <v>138</v>
      </c>
      <c r="E120" s="123"/>
      <c r="F120" s="123"/>
      <c r="G120" s="123"/>
      <c r="H120" s="123"/>
      <c r="I120" s="25">
        <v>3</v>
      </c>
      <c r="J120" s="73">
        <f>IF(I120="x",3,0)</f>
        <v>0</v>
      </c>
    </row>
    <row r="121" spans="1:10" ht="15.75" customHeight="1">
      <c r="A121" s="124" t="s">
        <v>139</v>
      </c>
      <c r="B121" s="124"/>
      <c r="C121" s="124"/>
      <c r="D121" s="125" t="s">
        <v>140</v>
      </c>
      <c r="E121" s="125"/>
      <c r="F121" s="125"/>
      <c r="G121" s="125"/>
      <c r="H121" s="125"/>
      <c r="I121" s="27">
        <v>0</v>
      </c>
      <c r="J121" s="73">
        <f>IF(I121="x",0,0)</f>
        <v>0</v>
      </c>
    </row>
    <row r="122" spans="1:10" ht="15.75" customHeight="1">
      <c r="A122" s="124"/>
      <c r="B122" s="124"/>
      <c r="C122" s="124"/>
      <c r="D122" s="122" t="s">
        <v>141</v>
      </c>
      <c r="E122" s="122"/>
      <c r="F122" s="122"/>
      <c r="G122" s="122"/>
      <c r="H122" s="122"/>
      <c r="I122" s="23">
        <v>1</v>
      </c>
      <c r="J122" s="73">
        <f t="shared" si="0"/>
        <v>0</v>
      </c>
    </row>
    <row r="123" spans="1:10" ht="15.75" customHeight="1">
      <c r="A123" s="124"/>
      <c r="B123" s="124"/>
      <c r="C123" s="124"/>
      <c r="D123" s="122" t="s">
        <v>142</v>
      </c>
      <c r="E123" s="122"/>
      <c r="F123" s="122"/>
      <c r="G123" s="122"/>
      <c r="H123" s="122"/>
      <c r="I123" s="23">
        <v>1</v>
      </c>
      <c r="J123" s="73">
        <f t="shared" si="0"/>
        <v>0</v>
      </c>
    </row>
    <row r="124" spans="1:10" ht="15.75" customHeight="1">
      <c r="A124" s="124"/>
      <c r="B124" s="124"/>
      <c r="C124" s="124"/>
      <c r="D124" s="123" t="s">
        <v>143</v>
      </c>
      <c r="E124" s="123"/>
      <c r="F124" s="123"/>
      <c r="G124" s="123"/>
      <c r="H124" s="123"/>
      <c r="I124" s="25">
        <v>1</v>
      </c>
      <c r="J124" s="73">
        <f t="shared" si="0"/>
        <v>0</v>
      </c>
    </row>
    <row r="125" spans="1:10" ht="15.75" customHeight="1">
      <c r="A125" s="126" t="s">
        <v>144</v>
      </c>
      <c r="B125" s="126"/>
      <c r="C125" s="126"/>
      <c r="D125" s="125" t="s">
        <v>145</v>
      </c>
      <c r="E125" s="125"/>
      <c r="F125" s="125"/>
      <c r="G125" s="125"/>
      <c r="H125" s="125"/>
      <c r="I125" s="27">
        <v>1</v>
      </c>
      <c r="J125" s="73">
        <f t="shared" si="0"/>
        <v>0</v>
      </c>
    </row>
    <row r="126" spans="1:10" ht="15.75" customHeight="1">
      <c r="A126" s="126"/>
      <c r="B126" s="126"/>
      <c r="C126" s="126"/>
      <c r="D126" s="122" t="s">
        <v>146</v>
      </c>
      <c r="E126" s="122"/>
      <c r="F126" s="122"/>
      <c r="G126" s="122"/>
      <c r="H126" s="122"/>
      <c r="I126" s="23">
        <v>2</v>
      </c>
      <c r="J126" s="73">
        <f>IF(I126="x",2,0)</f>
        <v>0</v>
      </c>
    </row>
    <row r="127" spans="1:10" ht="15.75" customHeight="1">
      <c r="A127" s="126"/>
      <c r="B127" s="126"/>
      <c r="C127" s="126"/>
      <c r="D127" s="122" t="s">
        <v>147</v>
      </c>
      <c r="E127" s="122"/>
      <c r="F127" s="122"/>
      <c r="G127" s="122"/>
      <c r="H127" s="122"/>
      <c r="I127" s="23">
        <v>1</v>
      </c>
      <c r="J127" s="73">
        <f>IF(I127="x",1,0)</f>
        <v>0</v>
      </c>
    </row>
    <row r="128" spans="1:10" ht="15.75" customHeight="1">
      <c r="A128" s="126"/>
      <c r="B128" s="126"/>
      <c r="C128" s="126"/>
      <c r="D128" s="122" t="s">
        <v>148</v>
      </c>
      <c r="E128" s="122"/>
      <c r="F128" s="122"/>
      <c r="G128" s="122"/>
      <c r="H128" s="122"/>
      <c r="I128" s="23">
        <v>2</v>
      </c>
      <c r="J128" s="73">
        <f>IF(I128="x",2,0)</f>
        <v>0</v>
      </c>
    </row>
    <row r="129" spans="1:10" ht="15.75" customHeight="1">
      <c r="A129" s="126"/>
      <c r="B129" s="126"/>
      <c r="C129" s="126"/>
      <c r="D129" s="122" t="s">
        <v>149</v>
      </c>
      <c r="E129" s="122"/>
      <c r="F129" s="122"/>
      <c r="G129" s="122"/>
      <c r="H129" s="122"/>
      <c r="I129" s="23">
        <v>1</v>
      </c>
      <c r="J129" s="73">
        <f t="shared" si="0"/>
        <v>0</v>
      </c>
    </row>
    <row r="130" spans="1:10" ht="15.75" customHeight="1">
      <c r="A130" s="126"/>
      <c r="B130" s="126"/>
      <c r="C130" s="126"/>
      <c r="D130" s="122" t="s">
        <v>150</v>
      </c>
      <c r="E130" s="122"/>
      <c r="F130" s="122"/>
      <c r="G130" s="122"/>
      <c r="H130" s="122"/>
      <c r="I130" s="23">
        <v>2</v>
      </c>
      <c r="J130" s="73">
        <f>IF(I130="x",2,0)</f>
        <v>0</v>
      </c>
    </row>
    <row r="131" spans="1:10" ht="15.75" customHeight="1">
      <c r="A131" s="126"/>
      <c r="B131" s="126"/>
      <c r="C131" s="126"/>
      <c r="D131" s="122" t="s">
        <v>151</v>
      </c>
      <c r="E131" s="122"/>
      <c r="F131" s="122"/>
      <c r="G131" s="122"/>
      <c r="H131" s="122"/>
      <c r="I131" s="23">
        <v>2</v>
      </c>
      <c r="J131" s="73">
        <f>IF(I131="x",2,0)</f>
        <v>0</v>
      </c>
    </row>
    <row r="132" spans="1:10" ht="15.75" customHeight="1">
      <c r="A132" s="126"/>
      <c r="B132" s="126"/>
      <c r="C132" s="126"/>
      <c r="D132" s="122" t="s">
        <v>152</v>
      </c>
      <c r="E132" s="122"/>
      <c r="F132" s="122"/>
      <c r="G132" s="122"/>
      <c r="H132" s="122"/>
      <c r="I132" s="23">
        <v>3</v>
      </c>
      <c r="J132" s="73">
        <f>IF(I132="x",3,0)</f>
        <v>0</v>
      </c>
    </row>
    <row r="133" spans="1:10" ht="15.75" customHeight="1">
      <c r="A133" s="126"/>
      <c r="B133" s="126"/>
      <c r="C133" s="126"/>
      <c r="D133" s="123" t="s">
        <v>153</v>
      </c>
      <c r="E133" s="123"/>
      <c r="F133" s="123"/>
      <c r="G133" s="123"/>
      <c r="H133" s="123"/>
      <c r="I133" s="25">
        <v>3</v>
      </c>
      <c r="J133" s="73">
        <f>IF(I133="x",3,0)</f>
        <v>0</v>
      </c>
    </row>
    <row r="134" spans="1:10" ht="15.75" customHeight="1">
      <c r="A134" s="127" t="s">
        <v>154</v>
      </c>
      <c r="B134" s="127"/>
      <c r="C134" s="127"/>
      <c r="D134" s="128" t="s">
        <v>155</v>
      </c>
      <c r="E134" s="128"/>
      <c r="F134" s="128"/>
      <c r="G134" s="128"/>
      <c r="H134" s="128"/>
      <c r="I134" s="28">
        <v>-1</v>
      </c>
      <c r="J134" s="73">
        <f>IF(I134="x",-1,0)</f>
        <v>0</v>
      </c>
    </row>
    <row r="135" spans="1:10" ht="15.75" customHeight="1">
      <c r="A135" s="127"/>
      <c r="B135" s="127"/>
      <c r="C135" s="127"/>
      <c r="D135" s="129" t="s">
        <v>156</v>
      </c>
      <c r="E135" s="129"/>
      <c r="F135" s="129"/>
      <c r="G135" s="129"/>
      <c r="H135" s="129"/>
      <c r="I135" s="29">
        <v>-1</v>
      </c>
      <c r="J135" s="73">
        <f>IF(I135="x",-1,0)</f>
        <v>0</v>
      </c>
    </row>
    <row r="136" spans="1:10" ht="15.75" customHeight="1">
      <c r="A136" s="127"/>
      <c r="B136" s="127"/>
      <c r="C136" s="127"/>
      <c r="D136" s="129" t="s">
        <v>157</v>
      </c>
      <c r="E136" s="129"/>
      <c r="F136" s="129"/>
      <c r="G136" s="129"/>
      <c r="H136" s="129"/>
      <c r="I136" s="29">
        <v>-1</v>
      </c>
      <c r="J136" s="73">
        <f>IF(I136="x",-1,0)</f>
        <v>0</v>
      </c>
    </row>
    <row r="137" spans="1:10" ht="15.75" customHeight="1">
      <c r="A137" s="130" t="s">
        <v>158</v>
      </c>
      <c r="B137" s="130"/>
      <c r="C137" s="130"/>
      <c r="D137" s="130"/>
      <c r="E137" s="130"/>
      <c r="F137" s="130"/>
      <c r="G137" s="130"/>
      <c r="H137" s="130"/>
      <c r="I137" s="130"/>
      <c r="J137" s="130"/>
    </row>
    <row r="138" spans="1:10" ht="15.75" customHeight="1">
      <c r="A138" s="121" t="s">
        <v>159</v>
      </c>
      <c r="B138" s="121"/>
      <c r="C138" s="121"/>
      <c r="D138" s="122" t="s">
        <v>160</v>
      </c>
      <c r="E138" s="122"/>
      <c r="F138" s="122"/>
      <c r="G138" s="122"/>
      <c r="H138" s="122"/>
      <c r="I138" s="23">
        <v>1</v>
      </c>
      <c r="J138" s="24">
        <f>IF(I138="x",1,IF(I138="x",1,0))</f>
        <v>0</v>
      </c>
    </row>
    <row r="139" spans="1:10" ht="15.75" customHeight="1">
      <c r="A139" s="121"/>
      <c r="B139" s="121"/>
      <c r="C139" s="121"/>
      <c r="D139" s="122" t="s">
        <v>161</v>
      </c>
      <c r="E139" s="122"/>
      <c r="F139" s="122"/>
      <c r="G139" s="122"/>
      <c r="H139" s="122"/>
      <c r="I139" s="23">
        <v>2</v>
      </c>
      <c r="J139" s="24">
        <f>IF(I139="x",2,IF(I139="x",2,0))</f>
        <v>0</v>
      </c>
    </row>
    <row r="140" spans="1:10" ht="15.75" customHeight="1">
      <c r="A140" s="121"/>
      <c r="B140" s="121"/>
      <c r="C140" s="121"/>
      <c r="D140" s="122" t="s">
        <v>162</v>
      </c>
      <c r="E140" s="122"/>
      <c r="F140" s="122"/>
      <c r="G140" s="122"/>
      <c r="H140" s="122"/>
      <c r="I140" s="23">
        <v>3</v>
      </c>
      <c r="J140" s="24">
        <f>IF(I140="x",3,IF(I140="x",3,0))</f>
        <v>0</v>
      </c>
    </row>
    <row r="141" spans="1:10" ht="15.75" customHeight="1">
      <c r="A141" s="121"/>
      <c r="B141" s="121"/>
      <c r="C141" s="121"/>
      <c r="D141" s="123" t="s">
        <v>163</v>
      </c>
      <c r="E141" s="123"/>
      <c r="F141" s="123"/>
      <c r="G141" s="123"/>
      <c r="H141" s="123"/>
      <c r="I141" s="25">
        <v>4</v>
      </c>
      <c r="J141" s="24">
        <f>IF(I141="x",4,IF(I141="x",4,0))</f>
        <v>0</v>
      </c>
    </row>
    <row r="142" spans="1:10" ht="15.75" customHeight="1">
      <c r="A142" s="124" t="s">
        <v>164</v>
      </c>
      <c r="B142" s="124"/>
      <c r="C142" s="124"/>
      <c r="D142" s="125" t="s">
        <v>165</v>
      </c>
      <c r="E142" s="125"/>
      <c r="F142" s="125"/>
      <c r="G142" s="125"/>
      <c r="H142" s="125"/>
      <c r="I142" s="27">
        <v>1</v>
      </c>
      <c r="J142" s="24">
        <f>IF(I142="x",1,IF(I142="x",1,0))</f>
        <v>0</v>
      </c>
    </row>
    <row r="143" spans="1:10" ht="15.75" customHeight="1">
      <c r="A143" s="124"/>
      <c r="B143" s="124"/>
      <c r="C143" s="124"/>
      <c r="D143" s="123" t="s">
        <v>166</v>
      </c>
      <c r="E143" s="123"/>
      <c r="F143" s="123"/>
      <c r="G143" s="123"/>
      <c r="H143" s="123"/>
      <c r="I143" s="25">
        <v>2</v>
      </c>
      <c r="J143" s="24">
        <f>IF(I143="x",2,IF(I143="x",2,0))</f>
        <v>0</v>
      </c>
    </row>
    <row r="144" spans="1:10" ht="15.75" customHeight="1">
      <c r="A144" s="124" t="s">
        <v>167</v>
      </c>
      <c r="B144" s="124"/>
      <c r="C144" s="124"/>
      <c r="D144" s="125" t="s">
        <v>168</v>
      </c>
      <c r="E144" s="125"/>
      <c r="F144" s="125"/>
      <c r="G144" s="125"/>
      <c r="H144" s="125"/>
      <c r="I144" s="27">
        <v>1</v>
      </c>
      <c r="J144" s="24">
        <f>IF(I144="x",1,IF(I144="x",1,0))</f>
        <v>0</v>
      </c>
    </row>
    <row r="145" spans="1:10" ht="15.75" customHeight="1">
      <c r="A145" s="124"/>
      <c r="B145" s="124"/>
      <c r="C145" s="124"/>
      <c r="D145" s="122" t="s">
        <v>169</v>
      </c>
      <c r="E145" s="122"/>
      <c r="F145" s="122"/>
      <c r="G145" s="122"/>
      <c r="H145" s="122"/>
      <c r="I145" s="23">
        <v>2</v>
      </c>
      <c r="J145" s="24">
        <f>IF(I145="x",2,IF(I145="x",2,0))</f>
        <v>0</v>
      </c>
    </row>
    <row r="146" spans="1:10" ht="15.75" customHeight="1">
      <c r="A146" s="124"/>
      <c r="B146" s="124"/>
      <c r="C146" s="124"/>
      <c r="D146" s="122" t="s">
        <v>170</v>
      </c>
      <c r="E146" s="122"/>
      <c r="F146" s="122"/>
      <c r="G146" s="122"/>
      <c r="H146" s="122"/>
      <c r="I146" s="23">
        <v>3</v>
      </c>
      <c r="J146" s="24">
        <f>IF(I146="x",3,IF(I146="x",3,0))</f>
        <v>0</v>
      </c>
    </row>
    <row r="147" spans="1:10" ht="15.75" customHeight="1">
      <c r="A147" s="124"/>
      <c r="B147" s="124"/>
      <c r="C147" s="124"/>
      <c r="D147" s="123" t="s">
        <v>171</v>
      </c>
      <c r="E147" s="123"/>
      <c r="F147" s="123"/>
      <c r="G147" s="123"/>
      <c r="H147" s="123"/>
      <c r="I147" s="25">
        <v>4</v>
      </c>
      <c r="J147" s="24">
        <f>IF(I147="x",4,IF(I147="x",4,0))</f>
        <v>0</v>
      </c>
    </row>
    <row r="148" spans="1:10" ht="15.75" customHeight="1">
      <c r="A148" s="124" t="s">
        <v>172</v>
      </c>
      <c r="B148" s="124"/>
      <c r="C148" s="124"/>
      <c r="D148" s="125" t="s">
        <v>173</v>
      </c>
      <c r="E148" s="125"/>
      <c r="F148" s="125"/>
      <c r="G148" s="125"/>
      <c r="H148" s="125"/>
      <c r="I148" s="27">
        <v>1</v>
      </c>
      <c r="J148" s="24">
        <f>IF(I148="x",1,IF(I148="x",1,0))</f>
        <v>0</v>
      </c>
    </row>
    <row r="149" spans="1:10" ht="15.75" customHeight="1">
      <c r="A149" s="124"/>
      <c r="B149" s="124"/>
      <c r="C149" s="124"/>
      <c r="D149" s="122" t="s">
        <v>174</v>
      </c>
      <c r="E149" s="122"/>
      <c r="F149" s="122"/>
      <c r="G149" s="122"/>
      <c r="H149" s="122"/>
      <c r="I149" s="23">
        <v>2</v>
      </c>
      <c r="J149" s="24">
        <f>IF(I149="x",2,IF(I149="x",2,0))</f>
        <v>0</v>
      </c>
    </row>
    <row r="150" spans="1:10" ht="15.75" customHeight="1">
      <c r="A150" s="124"/>
      <c r="B150" s="124"/>
      <c r="C150" s="124"/>
      <c r="D150" s="123" t="s">
        <v>175</v>
      </c>
      <c r="E150" s="123"/>
      <c r="F150" s="123"/>
      <c r="G150" s="123"/>
      <c r="H150" s="123"/>
      <c r="I150" s="25">
        <v>3</v>
      </c>
      <c r="J150" s="24">
        <f>IF(I150="x",3,IF(I150="x",3,0))</f>
        <v>0</v>
      </c>
    </row>
    <row r="151" spans="1:10" ht="15.75" customHeight="1">
      <c r="A151" s="131" t="s">
        <v>176</v>
      </c>
      <c r="B151" s="131"/>
      <c r="C151" s="131"/>
      <c r="D151" s="125" t="s">
        <v>177</v>
      </c>
      <c r="E151" s="125"/>
      <c r="F151" s="125"/>
      <c r="G151" s="125"/>
      <c r="H151" s="125"/>
      <c r="I151" s="27">
        <v>1</v>
      </c>
      <c r="J151" s="24">
        <f>IF(I151="x",1,IF(I151="x",1,0))</f>
        <v>0</v>
      </c>
    </row>
    <row r="152" spans="1:10" ht="15.75" customHeight="1">
      <c r="A152" s="131"/>
      <c r="B152" s="131"/>
      <c r="C152" s="131"/>
      <c r="D152" s="122" t="s">
        <v>178</v>
      </c>
      <c r="E152" s="122"/>
      <c r="F152" s="122"/>
      <c r="G152" s="122"/>
      <c r="H152" s="122"/>
      <c r="I152" s="23">
        <v>2</v>
      </c>
      <c r="J152" s="24">
        <f>IF(I152="x",2,IF(I152="x",2,0))</f>
        <v>0</v>
      </c>
    </row>
    <row r="153" spans="1:10" ht="15.75" customHeight="1">
      <c r="A153" s="131"/>
      <c r="B153" s="131"/>
      <c r="C153" s="131"/>
      <c r="D153" s="122" t="s">
        <v>179</v>
      </c>
      <c r="E153" s="122"/>
      <c r="F153" s="122"/>
      <c r="G153" s="122"/>
      <c r="H153" s="122"/>
      <c r="I153" s="23">
        <v>3</v>
      </c>
      <c r="J153" s="24">
        <f>IF(I153="x",3,IF(I153="x",3,0))</f>
        <v>0</v>
      </c>
    </row>
    <row r="154" spans="1:10" ht="24" customHeight="1">
      <c r="A154" s="132" t="s">
        <v>180</v>
      </c>
      <c r="B154" s="132"/>
      <c r="C154" s="132"/>
      <c r="D154" s="132"/>
      <c r="E154" s="132"/>
      <c r="F154" s="132"/>
      <c r="G154" s="132"/>
      <c r="H154" s="132"/>
      <c r="I154" s="132"/>
      <c r="J154" s="30">
        <f>SUM(J102:J136)+SUM(J138:J153)</f>
        <v>0</v>
      </c>
    </row>
    <row r="155" spans="1:10" ht="15.75" customHeight="1">
      <c r="A155" s="133"/>
      <c r="B155" s="133"/>
      <c r="C155" s="133"/>
      <c r="D155" s="133"/>
      <c r="E155" s="133"/>
      <c r="F155" s="133"/>
      <c r="G155" s="133"/>
      <c r="H155" s="133"/>
      <c r="I155" s="133"/>
      <c r="J155" s="133"/>
    </row>
    <row r="156" spans="1:10" ht="15.75" customHeight="1">
      <c r="A156" s="134" t="s">
        <v>181</v>
      </c>
      <c r="B156" s="134"/>
      <c r="C156" s="134"/>
      <c r="D156" s="134"/>
      <c r="E156" s="134"/>
      <c r="F156" s="134"/>
      <c r="G156" s="135" t="s">
        <v>182</v>
      </c>
      <c r="H156" s="135"/>
      <c r="I156" s="135"/>
      <c r="J156" s="135"/>
    </row>
    <row r="157" spans="1:10" ht="15.75" customHeight="1">
      <c r="A157" s="136" t="s">
        <v>183</v>
      </c>
      <c r="B157" s="136"/>
      <c r="C157" s="136"/>
      <c r="D157" s="136"/>
      <c r="E157" s="136"/>
      <c r="F157" s="136"/>
      <c r="G157" s="137" t="s">
        <v>184</v>
      </c>
      <c r="H157" s="137"/>
      <c r="I157" s="137"/>
      <c r="J157" s="137"/>
    </row>
    <row r="158" spans="1:10" ht="15.75" customHeight="1">
      <c r="A158" s="138" t="s">
        <v>185</v>
      </c>
      <c r="B158" s="138"/>
      <c r="C158" s="138"/>
      <c r="D158" s="138"/>
      <c r="E158" s="138"/>
      <c r="F158" s="138"/>
      <c r="G158" s="139" t="s">
        <v>186</v>
      </c>
      <c r="H158" s="139"/>
      <c r="I158" s="139"/>
      <c r="J158" s="139"/>
    </row>
    <row r="159" spans="1:10" ht="15.75" customHeight="1">
      <c r="A159" s="140" t="s">
        <v>187</v>
      </c>
      <c r="B159" s="140"/>
      <c r="C159" s="140"/>
      <c r="D159" s="140"/>
      <c r="E159" s="140"/>
      <c r="F159" s="140"/>
      <c r="G159" s="141" t="s">
        <v>188</v>
      </c>
      <c r="H159" s="141"/>
      <c r="I159" s="141"/>
      <c r="J159" s="141"/>
    </row>
    <row r="160" spans="1:10" ht="362.25" customHeight="1">
      <c r="A160" s="142"/>
      <c r="B160" s="142"/>
      <c r="C160" s="142"/>
      <c r="D160" s="142"/>
      <c r="E160" s="142"/>
      <c r="F160" s="142"/>
      <c r="G160" s="142"/>
      <c r="H160" s="142"/>
      <c r="I160" s="142"/>
      <c r="J160" s="142"/>
    </row>
    <row r="161" spans="1:10" ht="15.75" customHeight="1">
      <c r="A161" s="7" t="s">
        <v>189</v>
      </c>
    </row>
    <row r="162" spans="1:10" ht="15.75" customHeight="1"/>
    <row r="163" spans="1:10" ht="15.75" customHeight="1">
      <c r="A163" t="s">
        <v>190</v>
      </c>
    </row>
    <row r="164" spans="1:10" ht="21" customHeight="1">
      <c r="A164" s="143" t="s">
        <v>191</v>
      </c>
      <c r="B164" s="143"/>
      <c r="C164" s="143"/>
      <c r="D164" s="143"/>
      <c r="E164" s="143"/>
      <c r="F164" s="143"/>
      <c r="G164" s="143"/>
      <c r="H164" s="143"/>
      <c r="I164" s="143"/>
      <c r="J164" s="143"/>
    </row>
    <row r="165" spans="1:10" ht="47.25" customHeight="1">
      <c r="A165" s="31"/>
      <c r="B165" s="144" t="s">
        <v>192</v>
      </c>
      <c r="C165" s="144"/>
      <c r="D165" s="144"/>
      <c r="E165" s="144"/>
      <c r="F165" s="31"/>
      <c r="G165" s="144" t="s">
        <v>193</v>
      </c>
      <c r="H165" s="144"/>
      <c r="I165" s="144"/>
      <c r="J165" s="144"/>
    </row>
    <row r="166" spans="1:10" ht="15.75" customHeight="1">
      <c r="A166" s="145"/>
      <c r="B166" s="145"/>
      <c r="C166" s="145"/>
      <c r="D166" s="145"/>
      <c r="E166" s="145"/>
      <c r="F166" s="146"/>
      <c r="G166" s="146"/>
      <c r="H166" s="146"/>
      <c r="I166" s="146"/>
      <c r="J166" s="146"/>
    </row>
    <row r="167" spans="1:10" ht="15.75" customHeight="1">
      <c r="A167" s="32" t="s">
        <v>194</v>
      </c>
      <c r="B167" s="33" t="s">
        <v>195</v>
      </c>
      <c r="C167" s="33" t="s">
        <v>196</v>
      </c>
      <c r="D167" s="33"/>
      <c r="E167" s="34"/>
      <c r="F167" s="146"/>
      <c r="G167" s="146"/>
      <c r="H167" s="146"/>
      <c r="I167" s="146"/>
      <c r="J167" s="146"/>
    </row>
    <row r="168" spans="1:10" ht="15.75" customHeight="1">
      <c r="A168" s="32">
        <v>1000</v>
      </c>
      <c r="B168" s="33" t="s">
        <v>195</v>
      </c>
      <c r="C168" s="33" t="s">
        <v>197</v>
      </c>
      <c r="D168" s="33"/>
      <c r="E168" s="34"/>
      <c r="F168" s="147" t="s">
        <v>198</v>
      </c>
      <c r="G168" s="147"/>
      <c r="H168" s="147"/>
      <c r="I168" s="147"/>
      <c r="J168" s="147"/>
    </row>
    <row r="169" spans="1:10" ht="15.75" customHeight="1">
      <c r="A169" s="32">
        <v>1500</v>
      </c>
      <c r="B169" s="33" t="s">
        <v>195</v>
      </c>
      <c r="C169" s="33" t="s">
        <v>199</v>
      </c>
      <c r="D169" s="33"/>
      <c r="E169" s="34"/>
      <c r="F169" s="147"/>
      <c r="G169" s="147"/>
      <c r="H169" s="147"/>
      <c r="I169" s="147"/>
      <c r="J169" s="147"/>
    </row>
    <row r="170" spans="1:10" ht="15.75" customHeight="1">
      <c r="A170" s="32">
        <v>3000</v>
      </c>
      <c r="B170" s="33" t="s">
        <v>195</v>
      </c>
      <c r="C170" s="33" t="s">
        <v>200</v>
      </c>
      <c r="D170" s="33"/>
      <c r="E170" s="34"/>
      <c r="F170" s="147"/>
      <c r="G170" s="147"/>
      <c r="H170" s="147"/>
      <c r="I170" s="147"/>
      <c r="J170" s="147"/>
    </row>
    <row r="171" spans="1:10" ht="15.75" customHeight="1">
      <c r="A171" s="32">
        <v>6000</v>
      </c>
      <c r="B171" s="33" t="s">
        <v>195</v>
      </c>
      <c r="C171" s="33" t="s">
        <v>201</v>
      </c>
      <c r="D171" s="33"/>
      <c r="E171" s="34"/>
      <c r="F171" s="147"/>
      <c r="G171" s="147"/>
      <c r="H171" s="147"/>
      <c r="I171" s="147"/>
      <c r="J171" s="147"/>
    </row>
    <row r="172" spans="1:10" ht="15.75" customHeight="1">
      <c r="A172" s="32">
        <v>10000</v>
      </c>
      <c r="B172" s="33" t="s">
        <v>195</v>
      </c>
      <c r="C172" s="33" t="s">
        <v>202</v>
      </c>
      <c r="D172" s="33"/>
      <c r="E172" s="34"/>
      <c r="F172" s="147"/>
      <c r="G172" s="147"/>
      <c r="H172" s="147"/>
      <c r="I172" s="147"/>
      <c r="J172" s="147"/>
    </row>
    <row r="173" spans="1:10" ht="15.75" customHeight="1">
      <c r="A173" s="32">
        <v>20000</v>
      </c>
      <c r="B173" s="33" t="s">
        <v>195</v>
      </c>
      <c r="C173" s="33" t="s">
        <v>203</v>
      </c>
      <c r="D173" s="33"/>
      <c r="E173" s="34"/>
      <c r="F173" s="148" t="s">
        <v>204</v>
      </c>
      <c r="G173" s="148"/>
      <c r="H173" s="148"/>
      <c r="I173" s="148"/>
      <c r="J173" s="148"/>
    </row>
    <row r="174" spans="1:10" ht="15.75" customHeight="1">
      <c r="A174" s="149" t="s">
        <v>205</v>
      </c>
      <c r="B174" s="149"/>
      <c r="C174" s="149"/>
      <c r="D174" s="33"/>
      <c r="E174" s="34"/>
      <c r="F174" s="148"/>
      <c r="G174" s="148"/>
      <c r="H174" s="148"/>
      <c r="I174" s="148"/>
      <c r="J174" s="148"/>
    </row>
    <row r="175" spans="1:10" ht="15.75" customHeight="1">
      <c r="A175" s="150" t="s">
        <v>206</v>
      </c>
      <c r="B175" s="150"/>
      <c r="C175" s="150"/>
      <c r="D175" s="150"/>
      <c r="E175" s="150"/>
      <c r="F175" s="148"/>
      <c r="G175" s="148"/>
      <c r="H175" s="148"/>
      <c r="I175" s="148"/>
      <c r="J175" s="148"/>
    </row>
    <row r="176" spans="1:10" ht="15.75" customHeight="1">
      <c r="A176" s="150"/>
      <c r="B176" s="150"/>
      <c r="C176" s="150"/>
      <c r="D176" s="150"/>
      <c r="E176" s="150"/>
      <c r="F176" s="148"/>
      <c r="G176" s="148"/>
      <c r="H176" s="148"/>
      <c r="I176" s="148"/>
      <c r="J176" s="148"/>
    </row>
    <row r="177" spans="1:10" ht="25.5" customHeight="1">
      <c r="A177" s="151"/>
      <c r="B177" s="152" t="s">
        <v>207</v>
      </c>
      <c r="C177" s="152"/>
      <c r="D177" s="152"/>
      <c r="E177" s="152"/>
      <c r="F177" s="35"/>
      <c r="G177" s="144" t="s">
        <v>208</v>
      </c>
      <c r="H177" s="144"/>
      <c r="I177" s="144"/>
      <c r="J177" s="144"/>
    </row>
    <row r="178" spans="1:10" ht="46.5" customHeight="1">
      <c r="A178" s="151"/>
      <c r="B178" s="153" t="s">
        <v>209</v>
      </c>
      <c r="C178" s="153"/>
      <c r="D178" s="153"/>
      <c r="E178" s="153"/>
      <c r="F178" s="36"/>
      <c r="G178" s="154" t="s">
        <v>210</v>
      </c>
      <c r="H178" s="154"/>
      <c r="I178" s="154"/>
      <c r="J178" s="154"/>
    </row>
    <row r="179" spans="1:10" ht="26.25" customHeight="1">
      <c r="A179" s="155" t="s">
        <v>211</v>
      </c>
      <c r="B179" s="155"/>
      <c r="C179" s="155"/>
      <c r="D179" s="156" t="s">
        <v>212</v>
      </c>
      <c r="E179" s="156"/>
      <c r="F179" s="37"/>
      <c r="G179" s="154"/>
      <c r="H179" s="154"/>
      <c r="I179" s="154"/>
      <c r="J179" s="154"/>
    </row>
    <row r="180" spans="1:10" ht="15.75" customHeight="1">
      <c r="A180" s="157" t="s">
        <v>213</v>
      </c>
      <c r="B180" s="157"/>
      <c r="C180" s="157"/>
      <c r="D180" s="158">
        <v>0.3</v>
      </c>
      <c r="E180" s="158"/>
      <c r="F180" s="159"/>
      <c r="G180" s="160" t="s">
        <v>214</v>
      </c>
      <c r="H180" s="160"/>
      <c r="I180" s="160"/>
      <c r="J180" s="160"/>
    </row>
    <row r="181" spans="1:10" ht="15.75" customHeight="1">
      <c r="A181" s="157" t="s">
        <v>215</v>
      </c>
      <c r="B181" s="157"/>
      <c r="C181" s="157"/>
      <c r="D181" s="158">
        <v>0.3</v>
      </c>
      <c r="E181" s="158"/>
      <c r="F181" s="159"/>
      <c r="G181" s="154" t="s">
        <v>216</v>
      </c>
      <c r="H181" s="154"/>
      <c r="I181" s="154"/>
      <c r="J181" s="154"/>
    </row>
    <row r="182" spans="1:10" ht="15.75" customHeight="1">
      <c r="A182" s="157" t="s">
        <v>217</v>
      </c>
      <c r="B182" s="157"/>
      <c r="C182" s="157"/>
      <c r="D182" s="158">
        <v>0.3</v>
      </c>
      <c r="E182" s="158"/>
      <c r="F182" s="159"/>
      <c r="G182" s="154"/>
      <c r="H182" s="154"/>
      <c r="I182" s="154"/>
      <c r="J182" s="154"/>
    </row>
    <row r="183" spans="1:10" ht="15.75" customHeight="1">
      <c r="A183" s="157" t="s">
        <v>218</v>
      </c>
      <c r="B183" s="157"/>
      <c r="C183" s="157"/>
      <c r="D183" s="158">
        <v>0.8</v>
      </c>
      <c r="E183" s="158"/>
      <c r="F183" s="159"/>
      <c r="G183" s="154"/>
      <c r="H183" s="154"/>
      <c r="I183" s="154"/>
      <c r="J183" s="154"/>
    </row>
    <row r="184" spans="1:10" ht="15.75" customHeight="1">
      <c r="A184" s="157" t="s">
        <v>219</v>
      </c>
      <c r="B184" s="157"/>
      <c r="C184" s="157"/>
      <c r="D184" s="158">
        <v>0.4</v>
      </c>
      <c r="E184" s="158"/>
      <c r="F184" s="159"/>
      <c r="G184" s="154"/>
      <c r="H184" s="154"/>
      <c r="I184" s="154"/>
      <c r="J184" s="154"/>
    </row>
    <row r="185" spans="1:10" ht="15.75" customHeight="1">
      <c r="A185" s="157" t="s">
        <v>220</v>
      </c>
      <c r="B185" s="157"/>
      <c r="C185" s="157"/>
      <c r="D185" s="158">
        <v>0.3</v>
      </c>
      <c r="E185" s="158"/>
      <c r="F185" s="38"/>
      <c r="G185" s="154"/>
      <c r="H185" s="154"/>
      <c r="I185" s="154"/>
      <c r="J185" s="154"/>
    </row>
    <row r="186" spans="1:10" ht="15.75" customHeight="1">
      <c r="A186" s="157" t="s">
        <v>221</v>
      </c>
      <c r="B186" s="157"/>
      <c r="C186" s="157"/>
      <c r="D186" s="158">
        <v>0.9</v>
      </c>
      <c r="E186" s="158"/>
      <c r="F186" s="39"/>
      <c r="G186" s="161" t="s">
        <v>222</v>
      </c>
      <c r="H186" s="161"/>
      <c r="I186" s="161"/>
      <c r="J186" s="161"/>
    </row>
    <row r="187" spans="1:10" ht="15.75" customHeight="1">
      <c r="A187" s="157" t="s">
        <v>223</v>
      </c>
      <c r="B187" s="157"/>
      <c r="C187" s="157"/>
      <c r="D187" s="158">
        <v>0.7</v>
      </c>
      <c r="E187" s="158"/>
      <c r="F187" s="40"/>
      <c r="G187" s="161"/>
      <c r="H187" s="161"/>
      <c r="I187" s="161"/>
      <c r="J187" s="161"/>
    </row>
    <row r="188" spans="1:10" ht="15.75" customHeight="1">
      <c r="A188" s="157" t="s">
        <v>224</v>
      </c>
      <c r="B188" s="157"/>
      <c r="C188" s="157"/>
      <c r="D188" s="158">
        <v>0.35</v>
      </c>
      <c r="E188" s="158"/>
      <c r="F188" s="40"/>
      <c r="G188" s="161"/>
      <c r="H188" s="161"/>
      <c r="I188" s="161"/>
      <c r="J188" s="161"/>
    </row>
    <row r="189" spans="1:10" ht="15.75" customHeight="1">
      <c r="A189" s="157" t="s">
        <v>225</v>
      </c>
      <c r="B189" s="157"/>
      <c r="C189" s="157"/>
      <c r="D189" s="158">
        <v>0.2</v>
      </c>
      <c r="E189" s="158"/>
      <c r="F189" s="40"/>
      <c r="G189" s="162" t="s">
        <v>226</v>
      </c>
      <c r="H189" s="162"/>
      <c r="I189" s="162"/>
      <c r="J189" s="162"/>
    </row>
    <row r="190" spans="1:10" ht="15.75" customHeight="1">
      <c r="A190" s="157" t="s">
        <v>227</v>
      </c>
      <c r="B190" s="157"/>
      <c r="C190" s="157"/>
      <c r="D190" s="158">
        <v>0.5</v>
      </c>
      <c r="E190" s="158"/>
      <c r="F190" s="40"/>
      <c r="G190" s="162"/>
      <c r="H190" s="162"/>
      <c r="I190" s="162"/>
      <c r="J190" s="162"/>
    </row>
    <row r="191" spans="1:10" ht="15.75" customHeight="1">
      <c r="A191" s="157" t="s">
        <v>228</v>
      </c>
      <c r="B191" s="157"/>
      <c r="C191" s="157"/>
      <c r="D191" s="158">
        <v>0.8</v>
      </c>
      <c r="E191" s="158"/>
      <c r="F191" s="40"/>
      <c r="G191" s="162"/>
      <c r="H191" s="162"/>
      <c r="I191" s="162"/>
      <c r="J191" s="162"/>
    </row>
    <row r="192" spans="1:10" ht="15.75" customHeight="1">
      <c r="A192" s="157" t="s">
        <v>229</v>
      </c>
      <c r="B192" s="157"/>
      <c r="C192" s="157"/>
      <c r="D192" s="158">
        <v>0.5</v>
      </c>
      <c r="E192" s="158"/>
      <c r="F192" s="40"/>
      <c r="G192" s="162" t="s">
        <v>230</v>
      </c>
      <c r="H192" s="162"/>
      <c r="I192" s="162"/>
      <c r="J192" s="162"/>
    </row>
    <row r="193" spans="1:10" ht="15.75" customHeight="1">
      <c r="A193" s="157" t="s">
        <v>231</v>
      </c>
      <c r="B193" s="157"/>
      <c r="C193" s="157"/>
      <c r="D193" s="158">
        <v>0.2</v>
      </c>
      <c r="E193" s="158"/>
      <c r="F193" s="40"/>
      <c r="G193" s="162"/>
      <c r="H193" s="162"/>
      <c r="I193" s="162"/>
      <c r="J193" s="162"/>
    </row>
    <row r="194" spans="1:10" ht="15.75" customHeight="1">
      <c r="A194" s="157" t="s">
        <v>232</v>
      </c>
      <c r="B194" s="157"/>
      <c r="C194" s="157"/>
      <c r="D194" s="158">
        <v>0.3</v>
      </c>
      <c r="E194" s="158"/>
      <c r="F194" s="40"/>
      <c r="G194" s="162"/>
      <c r="H194" s="162"/>
      <c r="I194" s="162"/>
      <c r="J194" s="162"/>
    </row>
    <row r="195" spans="1:10" ht="15.75" customHeight="1">
      <c r="A195" s="157" t="s">
        <v>233</v>
      </c>
      <c r="B195" s="157"/>
      <c r="C195" s="157"/>
      <c r="D195" s="158">
        <v>0.1</v>
      </c>
      <c r="E195" s="158"/>
      <c r="F195" s="40"/>
      <c r="G195" s="162" t="s">
        <v>234</v>
      </c>
      <c r="H195" s="162"/>
      <c r="I195" s="162"/>
      <c r="J195" s="162"/>
    </row>
    <row r="196" spans="1:10" ht="15.75" customHeight="1">
      <c r="A196" s="157" t="s">
        <v>235</v>
      </c>
      <c r="B196" s="157"/>
      <c r="C196" s="157"/>
      <c r="D196" s="158">
        <v>1</v>
      </c>
      <c r="E196" s="158"/>
      <c r="F196" s="40"/>
      <c r="G196" s="162"/>
      <c r="H196" s="162"/>
      <c r="I196" s="162"/>
      <c r="J196" s="162"/>
    </row>
    <row r="197" spans="1:10" ht="15.75" customHeight="1">
      <c r="A197" s="157" t="s">
        <v>236</v>
      </c>
      <c r="B197" s="157"/>
      <c r="C197" s="157"/>
      <c r="D197" s="158">
        <v>0.2</v>
      </c>
      <c r="E197" s="158"/>
      <c r="F197" s="40"/>
      <c r="G197" s="41"/>
      <c r="H197" s="41"/>
      <c r="I197" s="41"/>
      <c r="J197" s="42"/>
    </row>
    <row r="198" spans="1:10" ht="15.75" customHeight="1">
      <c r="A198" s="157" t="s">
        <v>237</v>
      </c>
      <c r="B198" s="157"/>
      <c r="C198" s="157"/>
      <c r="D198" s="164">
        <v>0.2</v>
      </c>
      <c r="E198" s="164"/>
      <c r="F198" s="163" t="s">
        <v>238</v>
      </c>
      <c r="G198" s="163"/>
      <c r="H198" s="163"/>
      <c r="I198" s="163"/>
      <c r="J198" s="163"/>
    </row>
    <row r="199" spans="1:10" ht="15.75" customHeight="1">
      <c r="A199" s="157" t="s">
        <v>239</v>
      </c>
      <c r="B199" s="157"/>
      <c r="C199" s="157"/>
      <c r="D199" s="164">
        <v>0.4</v>
      </c>
      <c r="E199" s="164"/>
      <c r="F199" s="43" t="s">
        <v>240</v>
      </c>
      <c r="I199" s="24"/>
      <c r="J199" s="74">
        <f>IF(I199&lt;=500,1,IF(I199&lt;=1000,2,IF(I199&lt;=1500,3,IF(I199&lt;=6000,5,IF(I199&lt;=10000,6,IF(I199&lt;=20000,7,(7+(CEILING((I199-20000)/10000,1)))))))))</f>
        <v>1</v>
      </c>
    </row>
    <row r="200" spans="1:10" ht="15.75" customHeight="1">
      <c r="A200" s="157" t="s">
        <v>241</v>
      </c>
      <c r="B200" s="157"/>
      <c r="C200" s="157"/>
      <c r="D200" s="164">
        <v>0.3</v>
      </c>
      <c r="E200" s="164"/>
      <c r="F200" s="43" t="s">
        <v>242</v>
      </c>
      <c r="I200" s="82"/>
      <c r="J200" s="75">
        <f>IF(I200="X",1,0)</f>
        <v>0</v>
      </c>
    </row>
    <row r="201" spans="1:10" ht="15.75" customHeight="1">
      <c r="A201" s="157" t="s">
        <v>243</v>
      </c>
      <c r="B201" s="157"/>
      <c r="C201" s="157"/>
      <c r="D201" s="164">
        <v>0.4</v>
      </c>
      <c r="E201" s="164"/>
      <c r="F201" s="43" t="s">
        <v>244</v>
      </c>
      <c r="I201" s="24"/>
      <c r="J201" s="77">
        <f>IF(I201&gt;I199,"ERRORE",CEILING((I201/500),1))</f>
        <v>0</v>
      </c>
    </row>
    <row r="202" spans="1:10" ht="15.75" customHeight="1">
      <c r="A202" s="157" t="s">
        <v>245</v>
      </c>
      <c r="B202" s="157"/>
      <c r="C202" s="157"/>
      <c r="D202" s="164">
        <v>0.3</v>
      </c>
      <c r="E202" s="164"/>
      <c r="F202" s="43" t="s">
        <v>246</v>
      </c>
      <c r="I202" s="73"/>
      <c r="J202" s="75">
        <f>I202</f>
        <v>0</v>
      </c>
    </row>
    <row r="203" spans="1:10" ht="15.75" customHeight="1">
      <c r="A203" s="165" t="s">
        <v>247</v>
      </c>
      <c r="B203" s="165"/>
      <c r="C203" s="165"/>
      <c r="D203" s="166">
        <v>0.3</v>
      </c>
      <c r="E203" s="166"/>
      <c r="F203" s="43" t="s">
        <v>248</v>
      </c>
      <c r="I203" s="73"/>
      <c r="J203" s="75">
        <f>FLOOR((I203/5),1)</f>
        <v>0</v>
      </c>
    </row>
    <row r="204" spans="1:10" ht="15.75" customHeight="1">
      <c r="A204" s="44"/>
      <c r="B204" s="44"/>
      <c r="C204" s="44"/>
      <c r="D204" s="45"/>
      <c r="E204" s="45"/>
      <c r="F204" s="43" t="s">
        <v>249</v>
      </c>
      <c r="I204" s="78"/>
      <c r="J204" s="76">
        <f>IF(I204="x",10,IF(I204="x",10,0))</f>
        <v>0</v>
      </c>
    </row>
    <row r="205" spans="1:10" ht="19.5" customHeight="1">
      <c r="A205" s="44"/>
      <c r="B205" s="44"/>
      <c r="C205" s="44"/>
      <c r="D205" s="45"/>
      <c r="E205" s="45"/>
      <c r="F205" s="46" t="s">
        <v>250</v>
      </c>
      <c r="G205" s="47"/>
      <c r="H205" s="47"/>
      <c r="I205" s="81"/>
      <c r="J205" s="81">
        <f>((J199+J200+J201)*J202)+J203+J204</f>
        <v>0</v>
      </c>
    </row>
    <row r="206" spans="1:10" ht="24" customHeight="1">
      <c r="A206" s="44"/>
      <c r="B206" s="48"/>
      <c r="C206" s="44"/>
      <c r="E206" s="48"/>
    </row>
    <row r="207" spans="1:10" ht="25.5" customHeight="1">
      <c r="A207" s="167" t="s">
        <v>251</v>
      </c>
      <c r="B207" s="167"/>
      <c r="C207" s="79">
        <f>LOOKUP(J205,{0,6.1,25.6,45.6,60.6,75.6,100.1,120},{0,1,2,3,4,5,6,7})</f>
        <v>0</v>
      </c>
      <c r="D207" s="167" t="s">
        <v>252</v>
      </c>
      <c r="E207" s="167"/>
      <c r="F207" s="79">
        <f>LOOKUP(J205,{0,4.1,13.1,25.1,40.1,60.1,100.1,110.1,120.1},{0,1,2,3,4,5,6,7,8,10})</f>
        <v>0</v>
      </c>
      <c r="G207" s="167" t="s">
        <v>253</v>
      </c>
      <c r="H207" s="167"/>
      <c r="I207" s="80">
        <f>LOOKUP(J205,{0,1.5,2.1,4.1,13.6,22.1,40.1,60.1,80.1,100.1,110.1,120.1},{0,2,3,5,10,20,30,40,80,100,120,160})</f>
        <v>0</v>
      </c>
      <c r="J207" s="49"/>
    </row>
    <row r="208" spans="1:10" ht="30" customHeight="1">
      <c r="A208" s="168" t="s">
        <v>254</v>
      </c>
      <c r="B208" s="168"/>
      <c r="C208" s="50" t="s">
        <v>255</v>
      </c>
      <c r="D208" s="168" t="s">
        <v>254</v>
      </c>
      <c r="E208" s="168"/>
      <c r="F208" s="51" t="s">
        <v>256</v>
      </c>
      <c r="G208" s="168" t="s">
        <v>254</v>
      </c>
      <c r="H208" s="168"/>
      <c r="I208" s="51" t="s">
        <v>257</v>
      </c>
    </row>
    <row r="209" spans="1:10" ht="15.75" customHeight="1">
      <c r="A209" s="169" t="s">
        <v>258</v>
      </c>
      <c r="B209" s="169"/>
      <c r="C209" s="52">
        <v>0</v>
      </c>
      <c r="D209" s="170" t="s">
        <v>259</v>
      </c>
      <c r="E209" s="170"/>
      <c r="F209" s="53">
        <v>0</v>
      </c>
      <c r="G209" s="170" t="s">
        <v>260</v>
      </c>
      <c r="H209" s="170"/>
      <c r="I209" s="53">
        <v>0</v>
      </c>
    </row>
    <row r="210" spans="1:10" ht="15.75" customHeight="1">
      <c r="A210" s="169" t="s">
        <v>261</v>
      </c>
      <c r="B210" s="169"/>
      <c r="C210" s="52">
        <v>1</v>
      </c>
      <c r="D210" s="170" t="s">
        <v>262</v>
      </c>
      <c r="E210" s="170"/>
      <c r="F210" s="53">
        <v>1</v>
      </c>
      <c r="G210" s="170" t="s">
        <v>263</v>
      </c>
      <c r="H210" s="170"/>
      <c r="I210" s="53">
        <v>3</v>
      </c>
    </row>
    <row r="211" spans="1:10" ht="15.75" customHeight="1">
      <c r="A211" s="169" t="s">
        <v>264</v>
      </c>
      <c r="B211" s="169"/>
      <c r="C211" s="52">
        <v>2</v>
      </c>
      <c r="D211" s="170" t="s">
        <v>265</v>
      </c>
      <c r="E211" s="170"/>
      <c r="F211" s="53">
        <v>2</v>
      </c>
      <c r="G211" s="170" t="s">
        <v>266</v>
      </c>
      <c r="H211" s="170"/>
      <c r="I211" s="53">
        <v>5</v>
      </c>
    </row>
    <row r="212" spans="1:10" ht="15.75" customHeight="1">
      <c r="A212" s="169" t="s">
        <v>267</v>
      </c>
      <c r="B212" s="169"/>
      <c r="C212" s="52">
        <v>3</v>
      </c>
      <c r="D212" s="170" t="s">
        <v>268</v>
      </c>
      <c r="E212" s="170"/>
      <c r="F212" s="53">
        <v>3</v>
      </c>
      <c r="G212" s="170" t="s">
        <v>269</v>
      </c>
      <c r="H212" s="170"/>
      <c r="I212" s="53">
        <v>10</v>
      </c>
    </row>
    <row r="213" spans="1:10" ht="15.75" customHeight="1">
      <c r="A213" s="169" t="s">
        <v>270</v>
      </c>
      <c r="B213" s="169"/>
      <c r="C213" s="52">
        <v>4</v>
      </c>
      <c r="D213" s="170" t="s">
        <v>271</v>
      </c>
      <c r="E213" s="170"/>
      <c r="F213" s="53">
        <v>4</v>
      </c>
      <c r="G213" s="170" t="s">
        <v>272</v>
      </c>
      <c r="H213" s="170"/>
      <c r="I213" s="53">
        <v>20</v>
      </c>
    </row>
    <row r="214" spans="1:10" ht="15.75" customHeight="1">
      <c r="A214" s="169" t="s">
        <v>273</v>
      </c>
      <c r="B214" s="169"/>
      <c r="C214" s="52">
        <v>5</v>
      </c>
      <c r="D214" s="170" t="s">
        <v>274</v>
      </c>
      <c r="E214" s="170"/>
      <c r="F214" s="53">
        <v>5</v>
      </c>
      <c r="G214" s="170" t="s">
        <v>271</v>
      </c>
      <c r="H214" s="170"/>
      <c r="I214" s="53">
        <v>30</v>
      </c>
      <c r="J214" s="54"/>
    </row>
    <row r="215" spans="1:10" ht="15.75" customHeight="1">
      <c r="A215" s="171" t="s">
        <v>275</v>
      </c>
      <c r="B215" s="171"/>
      <c r="C215" s="55">
        <v>6</v>
      </c>
      <c r="D215" s="170" t="s">
        <v>276</v>
      </c>
      <c r="E215" s="170"/>
      <c r="F215" s="53">
        <v>6</v>
      </c>
      <c r="G215" s="170" t="s">
        <v>277</v>
      </c>
      <c r="H215" s="170"/>
      <c r="I215" s="53">
        <v>40</v>
      </c>
      <c r="J215" s="54"/>
    </row>
    <row r="216" spans="1:10" ht="15.75" customHeight="1">
      <c r="D216" s="172" t="s">
        <v>278</v>
      </c>
      <c r="E216" s="172"/>
      <c r="F216" s="56">
        <v>8</v>
      </c>
      <c r="G216" s="170" t="s">
        <v>276</v>
      </c>
      <c r="H216" s="170"/>
      <c r="I216" s="53">
        <v>80</v>
      </c>
      <c r="J216" s="54"/>
    </row>
    <row r="217" spans="1:10" ht="15.75" customHeight="1">
      <c r="D217" s="54"/>
      <c r="E217" s="57"/>
      <c r="F217" s="54"/>
      <c r="G217" s="172" t="s">
        <v>278</v>
      </c>
      <c r="H217" s="172"/>
      <c r="I217" s="56">
        <v>120</v>
      </c>
      <c r="J217" s="54"/>
    </row>
    <row r="218" spans="1:10" ht="30" customHeight="1">
      <c r="A218" s="173" t="s">
        <v>279</v>
      </c>
      <c r="B218" s="173"/>
      <c r="C218" s="80">
        <f>LOOKUP(J205,{0,13.1,30.1,60.1,90,120},{0,1,2,3,4,5})</f>
        <v>0</v>
      </c>
      <c r="D218" s="54"/>
      <c r="E218" s="57"/>
      <c r="F218" s="54"/>
      <c r="G218" s="54"/>
      <c r="H218" s="54"/>
      <c r="I218" s="54"/>
      <c r="J218" s="54"/>
    </row>
    <row r="219" spans="1:10" ht="15.75" customHeight="1">
      <c r="A219" s="174" t="s">
        <v>254</v>
      </c>
      <c r="B219" s="174"/>
      <c r="C219" s="58" t="s">
        <v>280</v>
      </c>
    </row>
    <row r="220" spans="1:10" ht="15.75" customHeight="1">
      <c r="A220" s="170" t="s">
        <v>281</v>
      </c>
      <c r="B220" s="170"/>
      <c r="C220" s="53">
        <v>0</v>
      </c>
    </row>
    <row r="221" spans="1:10" ht="15.75" customHeight="1">
      <c r="A221" s="170" t="s">
        <v>282</v>
      </c>
      <c r="B221" s="170"/>
      <c r="C221" s="53">
        <v>1</v>
      </c>
    </row>
    <row r="222" spans="1:10" ht="15.75" customHeight="1">
      <c r="A222" s="170" t="s">
        <v>283</v>
      </c>
      <c r="B222" s="170"/>
      <c r="C222" s="53">
        <v>2</v>
      </c>
    </row>
    <row r="223" spans="1:10" ht="15.75" customHeight="1">
      <c r="A223" s="170" t="s">
        <v>284</v>
      </c>
      <c r="B223" s="170"/>
      <c r="C223" s="53">
        <v>3</v>
      </c>
    </row>
    <row r="224" spans="1:10" ht="15.75" customHeight="1">
      <c r="A224" s="172" t="s">
        <v>285</v>
      </c>
      <c r="B224" s="172"/>
      <c r="C224" s="56">
        <v>4</v>
      </c>
    </row>
    <row r="225" spans="1:10" ht="15.75" customHeight="1">
      <c r="A225" s="54"/>
      <c r="B225" s="54"/>
      <c r="C225" s="54"/>
    </row>
    <row r="226" spans="1:10" ht="15.75" customHeight="1">
      <c r="A226" s="7" t="s">
        <v>286</v>
      </c>
    </row>
    <row r="227" spans="1:10" ht="15.75" customHeight="1"/>
    <row r="228" spans="1:10" ht="15.75" customHeight="1">
      <c r="A228" s="175" t="s">
        <v>287</v>
      </c>
      <c r="B228" s="175"/>
      <c r="C228" s="175"/>
      <c r="D228" s="176" t="s">
        <v>288</v>
      </c>
      <c r="E228" s="176"/>
      <c r="F228" s="176" t="s">
        <v>289</v>
      </c>
      <c r="G228" s="176"/>
      <c r="H228" s="176"/>
      <c r="I228" s="177" t="s">
        <v>288</v>
      </c>
      <c r="J228" s="177"/>
    </row>
    <row r="229" spans="1:10" ht="18.75" customHeight="1">
      <c r="A229" s="178" t="s">
        <v>290</v>
      </c>
      <c r="B229" s="178"/>
      <c r="C229" s="178"/>
      <c r="D229" s="179">
        <v>0</v>
      </c>
      <c r="E229" s="179"/>
      <c r="F229" s="180" t="s">
        <v>291</v>
      </c>
      <c r="G229" s="180"/>
      <c r="H229" s="180"/>
      <c r="I229" s="181">
        <v>0</v>
      </c>
      <c r="J229" s="181"/>
    </row>
    <row r="230" spans="1:10" ht="18.75" customHeight="1">
      <c r="A230" s="178"/>
      <c r="B230" s="178"/>
      <c r="C230" s="178"/>
      <c r="D230" s="179"/>
      <c r="E230" s="179"/>
      <c r="F230" s="96" t="s">
        <v>292</v>
      </c>
      <c r="G230" s="96"/>
      <c r="H230" s="96"/>
      <c r="I230" s="182">
        <v>0</v>
      </c>
      <c r="J230" s="182"/>
    </row>
    <row r="231" spans="1:10" ht="19.5" customHeight="1">
      <c r="A231" s="178"/>
      <c r="B231" s="178"/>
      <c r="C231" s="178"/>
      <c r="D231" s="179"/>
      <c r="E231" s="179"/>
      <c r="F231" s="183" t="s">
        <v>293</v>
      </c>
      <c r="G231" s="183"/>
      <c r="H231" s="183"/>
      <c r="I231" s="184">
        <v>0</v>
      </c>
      <c r="J231" s="184"/>
    </row>
    <row r="232" spans="1:10" ht="18.75" customHeight="1">
      <c r="A232" s="178" t="s">
        <v>294</v>
      </c>
      <c r="B232" s="178"/>
      <c r="C232" s="178"/>
      <c r="D232" s="179">
        <v>0</v>
      </c>
      <c r="E232" s="179"/>
      <c r="F232" s="180" t="s">
        <v>291</v>
      </c>
      <c r="G232" s="180"/>
      <c r="H232" s="180"/>
      <c r="I232" s="181">
        <v>0</v>
      </c>
      <c r="J232" s="181"/>
    </row>
    <row r="233" spans="1:10" ht="18.75" customHeight="1">
      <c r="A233" s="178"/>
      <c r="B233" s="178"/>
      <c r="C233" s="178"/>
      <c r="D233" s="179"/>
      <c r="E233" s="179"/>
      <c r="F233" s="96" t="s">
        <v>292</v>
      </c>
      <c r="G233" s="96"/>
      <c r="H233" s="96"/>
      <c r="I233" s="182">
        <v>0</v>
      </c>
      <c r="J233" s="182"/>
    </row>
    <row r="234" spans="1:10" ht="19.5" customHeight="1">
      <c r="A234" s="178"/>
      <c r="B234" s="178"/>
      <c r="C234" s="178"/>
      <c r="D234" s="179"/>
      <c r="E234" s="179"/>
      <c r="F234" s="183" t="s">
        <v>293</v>
      </c>
      <c r="G234" s="183"/>
      <c r="H234" s="183"/>
      <c r="I234" s="185">
        <v>0</v>
      </c>
      <c r="J234" s="185"/>
    </row>
    <row r="235" spans="1:10" ht="18.75" customHeight="1">
      <c r="A235" s="186" t="s">
        <v>295</v>
      </c>
      <c r="B235" s="186"/>
      <c r="C235" s="186"/>
      <c r="D235" s="187">
        <v>0</v>
      </c>
      <c r="E235" s="187"/>
      <c r="F235" s="188" t="s">
        <v>296</v>
      </c>
      <c r="G235" s="188"/>
      <c r="H235" s="188"/>
      <c r="I235" s="188"/>
      <c r="J235" s="188"/>
    </row>
    <row r="236" spans="1:10" ht="18.75" customHeight="1">
      <c r="A236" s="186"/>
      <c r="B236" s="186"/>
      <c r="C236" s="186"/>
      <c r="D236" s="187"/>
      <c r="E236" s="187"/>
      <c r="F236" s="188"/>
      <c r="G236" s="188"/>
      <c r="H236" s="188"/>
      <c r="I236" s="188"/>
      <c r="J236" s="188"/>
    </row>
    <row r="237" spans="1:10" ht="18.75" customHeight="1">
      <c r="A237" s="186" t="s">
        <v>297</v>
      </c>
      <c r="B237" s="186"/>
      <c r="C237" s="186"/>
      <c r="D237" s="187">
        <v>0</v>
      </c>
      <c r="E237" s="187"/>
      <c r="F237" s="188" t="s">
        <v>296</v>
      </c>
      <c r="G237" s="188"/>
      <c r="H237" s="188"/>
      <c r="I237" s="188"/>
      <c r="J237" s="188"/>
    </row>
    <row r="238" spans="1:10" ht="18.75" customHeight="1">
      <c r="A238" s="186"/>
      <c r="B238" s="186"/>
      <c r="C238" s="186"/>
      <c r="D238" s="187"/>
      <c r="E238" s="187"/>
      <c r="F238" s="188"/>
      <c r="G238" s="188"/>
      <c r="H238" s="188"/>
      <c r="I238" s="188"/>
      <c r="J238" s="188"/>
    </row>
    <row r="239" spans="1:10" ht="18.75" customHeight="1">
      <c r="A239" s="186" t="s">
        <v>298</v>
      </c>
      <c r="B239" s="186"/>
      <c r="C239" s="186"/>
      <c r="D239" s="187">
        <v>0</v>
      </c>
      <c r="E239" s="187"/>
      <c r="F239" s="188" t="s">
        <v>296</v>
      </c>
      <c r="G239" s="188"/>
      <c r="H239" s="188"/>
      <c r="I239" s="188"/>
      <c r="J239" s="188"/>
    </row>
    <row r="240" spans="1:10" ht="18.75" customHeight="1">
      <c r="A240" s="186"/>
      <c r="B240" s="186"/>
      <c r="C240" s="186"/>
      <c r="D240" s="187"/>
      <c r="E240" s="187"/>
      <c r="F240" s="188"/>
      <c r="G240" s="188"/>
      <c r="H240" s="188"/>
      <c r="I240" s="188"/>
      <c r="J240" s="188"/>
    </row>
    <row r="241" spans="1:10" ht="19.5" customHeight="1">
      <c r="A241" s="186" t="s">
        <v>299</v>
      </c>
      <c r="B241" s="186"/>
      <c r="C241" s="186"/>
      <c r="D241" s="189">
        <v>0</v>
      </c>
      <c r="E241" s="189"/>
      <c r="F241" s="189"/>
      <c r="G241" s="189"/>
      <c r="H241" s="189"/>
      <c r="I241" s="189"/>
      <c r="J241" s="189"/>
    </row>
    <row r="242" spans="1:10" ht="19.5" customHeight="1">
      <c r="A242" s="190" t="s">
        <v>300</v>
      </c>
      <c r="B242" s="190"/>
      <c r="C242" s="190"/>
      <c r="D242" s="190"/>
      <c r="E242" s="190"/>
      <c r="F242" s="190"/>
      <c r="G242" s="190"/>
      <c r="H242" s="190"/>
      <c r="I242" s="190"/>
      <c r="J242" s="190"/>
    </row>
    <row r="243" spans="1:10" ht="15.75" customHeight="1">
      <c r="A243" s="191" t="s">
        <v>301</v>
      </c>
      <c r="B243" s="191"/>
      <c r="C243" s="192" t="s">
        <v>302</v>
      </c>
      <c r="D243" s="192"/>
      <c r="E243" s="192" t="s">
        <v>303</v>
      </c>
      <c r="F243" s="192"/>
      <c r="G243" s="192" t="s">
        <v>304</v>
      </c>
      <c r="H243" s="192"/>
      <c r="I243" s="193" t="s">
        <v>22</v>
      </c>
      <c r="J243" s="193"/>
    </row>
    <row r="244" spans="1:10" ht="18.75" customHeight="1">
      <c r="A244" s="194"/>
      <c r="B244" s="194"/>
      <c r="C244" s="195"/>
      <c r="D244" s="195"/>
      <c r="E244" s="195"/>
      <c r="F244" s="195"/>
      <c r="G244" s="195"/>
      <c r="H244" s="195"/>
      <c r="I244" s="196"/>
      <c r="J244" s="196"/>
    </row>
    <row r="245" spans="1:10" ht="18.75" customHeight="1">
      <c r="A245" s="59"/>
      <c r="C245" s="59"/>
      <c r="E245" s="59"/>
      <c r="G245" s="59"/>
      <c r="I245" s="59"/>
    </row>
    <row r="246" spans="1:10" ht="18.75" customHeight="1">
      <c r="A246" s="197" t="s">
        <v>305</v>
      </c>
      <c r="B246" s="197"/>
      <c r="C246" s="197"/>
      <c r="D246" s="197"/>
      <c r="E246" s="197"/>
      <c r="F246" s="197"/>
      <c r="G246" s="197"/>
      <c r="H246" s="197"/>
      <c r="I246" s="197"/>
      <c r="J246" s="197"/>
    </row>
    <row r="247" spans="1:10" ht="27.75" customHeight="1">
      <c r="A247" s="60" t="s">
        <v>306</v>
      </c>
      <c r="B247" s="61" t="s">
        <v>307</v>
      </c>
      <c r="C247" s="198" t="s">
        <v>308</v>
      </c>
      <c r="D247" s="198"/>
      <c r="E247" s="198" t="s">
        <v>309</v>
      </c>
      <c r="F247" s="198"/>
      <c r="G247" s="198" t="s">
        <v>310</v>
      </c>
      <c r="H247" s="198"/>
      <c r="I247" s="199" t="s">
        <v>311</v>
      </c>
      <c r="J247" s="199"/>
    </row>
    <row r="248" spans="1:10" ht="18.75" customHeight="1">
      <c r="A248" s="62"/>
      <c r="B248" s="63"/>
      <c r="C248" s="200"/>
      <c r="D248" s="200"/>
      <c r="E248" s="201"/>
      <c r="F248" s="201"/>
      <c r="G248" s="201"/>
      <c r="H248" s="201"/>
      <c r="I248" s="202"/>
      <c r="J248" s="202"/>
    </row>
    <row r="249" spans="1:10" ht="18.75" customHeight="1">
      <c r="A249" s="62"/>
      <c r="B249" s="63"/>
      <c r="C249" s="200"/>
      <c r="D249" s="200"/>
      <c r="E249" s="201"/>
      <c r="F249" s="201"/>
      <c r="G249" s="201"/>
      <c r="H249" s="201"/>
      <c r="I249" s="202"/>
      <c r="J249" s="202"/>
    </row>
    <row r="250" spans="1:10" ht="18.75" customHeight="1">
      <c r="A250" s="62"/>
      <c r="B250" s="63"/>
      <c r="C250" s="200"/>
      <c r="D250" s="200"/>
      <c r="E250" s="201"/>
      <c r="F250" s="201"/>
      <c r="G250" s="201"/>
      <c r="H250" s="201"/>
      <c r="I250" s="202"/>
      <c r="J250" s="202"/>
    </row>
    <row r="251" spans="1:10" ht="18.75" customHeight="1">
      <c r="A251" s="62"/>
      <c r="B251" s="63"/>
      <c r="C251" s="200"/>
      <c r="D251" s="200"/>
      <c r="E251" s="201"/>
      <c r="F251" s="201"/>
      <c r="G251" s="201"/>
      <c r="H251" s="201"/>
      <c r="I251" s="202"/>
      <c r="J251" s="202"/>
    </row>
    <row r="252" spans="1:10" ht="18.75" customHeight="1">
      <c r="A252" s="62"/>
      <c r="B252" s="63"/>
      <c r="C252" s="200"/>
      <c r="D252" s="200"/>
      <c r="E252" s="201"/>
      <c r="F252" s="201"/>
      <c r="G252" s="201"/>
      <c r="H252" s="201"/>
      <c r="I252" s="202"/>
      <c r="J252" s="202"/>
    </row>
    <row r="253" spans="1:10" ht="18.75" customHeight="1">
      <c r="A253" s="62"/>
      <c r="B253" s="63"/>
      <c r="C253" s="200"/>
      <c r="D253" s="200"/>
      <c r="E253" s="201"/>
      <c r="F253" s="201"/>
      <c r="G253" s="201"/>
      <c r="H253" s="201"/>
      <c r="I253" s="202"/>
      <c r="J253" s="202"/>
    </row>
    <row r="254" spans="1:10" ht="18.75" customHeight="1">
      <c r="A254" s="62"/>
      <c r="B254" s="63"/>
      <c r="C254" s="200"/>
      <c r="D254" s="200"/>
      <c r="E254" s="201"/>
      <c r="F254" s="201"/>
      <c r="G254" s="201"/>
      <c r="H254" s="201"/>
      <c r="I254" s="202"/>
      <c r="J254" s="202"/>
    </row>
    <row r="255" spans="1:10" ht="18.75" customHeight="1">
      <c r="A255" s="62"/>
      <c r="B255" s="63"/>
      <c r="C255" s="200"/>
      <c r="D255" s="200"/>
      <c r="E255" s="201"/>
      <c r="F255" s="201"/>
      <c r="G255" s="201"/>
      <c r="H255" s="201"/>
      <c r="I255" s="202"/>
      <c r="J255" s="202"/>
    </row>
    <row r="256" spans="1:10" ht="18.75" customHeight="1">
      <c r="A256" s="62"/>
      <c r="B256" s="63"/>
      <c r="C256" s="200"/>
      <c r="D256" s="200"/>
      <c r="E256" s="201"/>
      <c r="F256" s="201"/>
      <c r="G256" s="201"/>
      <c r="H256" s="201"/>
      <c r="I256" s="202"/>
      <c r="J256" s="202"/>
    </row>
    <row r="257" spans="1:10" ht="18.75" customHeight="1">
      <c r="A257" s="62"/>
      <c r="B257" s="63"/>
      <c r="C257" s="200"/>
      <c r="D257" s="200"/>
      <c r="E257" s="201"/>
      <c r="F257" s="201"/>
      <c r="G257" s="201"/>
      <c r="H257" s="201"/>
      <c r="I257" s="202"/>
      <c r="J257" s="202"/>
    </row>
    <row r="258" spans="1:10" ht="18.75" customHeight="1">
      <c r="A258" s="62"/>
      <c r="B258" s="63"/>
      <c r="C258" s="200"/>
      <c r="D258" s="200"/>
      <c r="E258" s="201"/>
      <c r="F258" s="201"/>
      <c r="G258" s="201"/>
      <c r="H258" s="201"/>
      <c r="I258" s="202"/>
      <c r="J258" s="202"/>
    </row>
    <row r="259" spans="1:10" ht="18.75" customHeight="1">
      <c r="A259" s="64"/>
      <c r="B259" s="65"/>
      <c r="C259" s="203"/>
      <c r="D259" s="203"/>
      <c r="E259" s="204"/>
      <c r="F259" s="204"/>
      <c r="G259" s="204"/>
      <c r="H259" s="204"/>
      <c r="I259" s="205"/>
      <c r="J259" s="205"/>
    </row>
    <row r="260" spans="1:10" ht="18.75" customHeight="1">
      <c r="A260" s="206" t="s">
        <v>312</v>
      </c>
      <c r="B260" s="206"/>
      <c r="C260" s="206"/>
      <c r="D260" s="206"/>
      <c r="E260" s="207"/>
      <c r="F260" s="207"/>
      <c r="G260" s="207"/>
      <c r="H260" s="207"/>
      <c r="I260" s="207"/>
      <c r="J260" s="207"/>
    </row>
    <row r="261" spans="1:10" ht="15.75" customHeight="1">
      <c r="A261" s="206" t="s">
        <v>313</v>
      </c>
      <c r="B261" s="206"/>
      <c r="C261" s="206"/>
      <c r="D261" s="206"/>
    </row>
    <row r="262" spans="1:10" ht="18.75" customHeight="1">
      <c r="A262" s="206" t="s">
        <v>314</v>
      </c>
      <c r="B262" s="206"/>
      <c r="C262" s="206"/>
      <c r="D262" s="206"/>
    </row>
    <row r="263" spans="1:10" ht="18.75" customHeight="1"/>
    <row r="264" spans="1:10" ht="15.75" customHeight="1">
      <c r="A264" s="7" t="s">
        <v>315</v>
      </c>
      <c r="I264" s="66" t="s">
        <v>30</v>
      </c>
      <c r="J264" s="66" t="s">
        <v>31</v>
      </c>
    </row>
    <row r="265" spans="1:10" ht="18.75" customHeight="1">
      <c r="A265" s="208" t="s">
        <v>316</v>
      </c>
      <c r="B265" s="208"/>
      <c r="C265" s="208"/>
      <c r="D265" s="208"/>
      <c r="E265" s="208"/>
      <c r="F265" s="208"/>
      <c r="G265" s="208"/>
      <c r="H265" s="208"/>
      <c r="I265" s="67"/>
      <c r="J265" s="67"/>
    </row>
    <row r="266" spans="1:10" ht="18.75" customHeight="1">
      <c r="A266" s="208" t="s">
        <v>317</v>
      </c>
      <c r="B266" s="208"/>
      <c r="C266" s="208"/>
      <c r="D266" s="208"/>
      <c r="E266" s="208"/>
      <c r="F266" s="208"/>
      <c r="G266" s="208"/>
      <c r="H266" s="208"/>
      <c r="I266" s="67"/>
      <c r="J266" s="67"/>
    </row>
    <row r="267" spans="1:10" ht="18.75" customHeight="1">
      <c r="A267" s="208" t="s">
        <v>318</v>
      </c>
      <c r="B267" s="208"/>
      <c r="C267" s="208"/>
      <c r="D267" s="208"/>
      <c r="E267" s="208"/>
      <c r="F267" s="208"/>
      <c r="G267" s="208"/>
      <c r="H267" s="208"/>
      <c r="I267" s="67"/>
      <c r="J267" s="67"/>
    </row>
    <row r="268" spans="1:10" ht="18.75" customHeight="1">
      <c r="A268" s="208" t="s">
        <v>319</v>
      </c>
      <c r="B268" s="208"/>
      <c r="C268" s="208"/>
      <c r="D268" s="208"/>
      <c r="E268" s="208"/>
      <c r="F268" s="208"/>
      <c r="G268" s="208"/>
      <c r="H268" s="208"/>
      <c r="I268" s="67"/>
      <c r="J268" s="67"/>
    </row>
    <row r="269" spans="1:10" ht="15.75" customHeight="1"/>
    <row r="270" spans="1:10" ht="15.75" customHeight="1">
      <c r="A270" s="7" t="s">
        <v>320</v>
      </c>
    </row>
    <row r="271" spans="1:10" ht="15.75" customHeight="1">
      <c r="A271" s="89"/>
      <c r="B271" s="89"/>
      <c r="C271" s="89"/>
      <c r="D271" s="209" t="s">
        <v>321</v>
      </c>
      <c r="E271" s="209"/>
      <c r="F271" s="209"/>
      <c r="G271" s="209"/>
      <c r="H271" s="210" t="s">
        <v>322</v>
      </c>
      <c r="I271" s="210"/>
      <c r="J271" s="210"/>
    </row>
    <row r="272" spans="1:10" ht="15.75" customHeight="1">
      <c r="A272" s="89" t="s">
        <v>323</v>
      </c>
      <c r="B272" s="89"/>
      <c r="C272" s="89"/>
      <c r="D272" s="89"/>
      <c r="E272" s="89"/>
      <c r="F272" s="89"/>
      <c r="G272" s="89"/>
      <c r="H272" s="210"/>
      <c r="I272" s="210"/>
      <c r="J272" s="210"/>
    </row>
    <row r="273" spans="1:10" ht="15.75" customHeight="1">
      <c r="A273" s="89" t="s">
        <v>323</v>
      </c>
      <c r="B273" s="89"/>
      <c r="C273" s="89"/>
      <c r="D273" s="211"/>
      <c r="E273" s="211"/>
      <c r="F273" s="211"/>
      <c r="G273" s="211"/>
      <c r="H273" s="210"/>
      <c r="I273" s="210"/>
      <c r="J273" s="210"/>
    </row>
    <row r="274" spans="1:10" ht="15.75" customHeight="1">
      <c r="A274" s="89" t="s">
        <v>323</v>
      </c>
      <c r="B274" s="89"/>
      <c r="C274" s="89"/>
      <c r="D274" s="89"/>
      <c r="E274" s="89"/>
      <c r="F274" s="89"/>
      <c r="G274" s="89"/>
      <c r="H274" s="210"/>
      <c r="I274" s="210"/>
      <c r="J274" s="210"/>
    </row>
    <row r="275" spans="1:10" ht="15.75" customHeight="1">
      <c r="A275" s="89" t="s">
        <v>323</v>
      </c>
      <c r="B275" s="89"/>
      <c r="C275" s="89"/>
      <c r="D275" s="89"/>
      <c r="E275" s="89"/>
      <c r="F275" s="89"/>
      <c r="G275" s="89"/>
      <c r="H275" s="210"/>
      <c r="I275" s="210"/>
      <c r="J275" s="210"/>
    </row>
    <row r="276" spans="1:10" ht="15.75" customHeight="1"/>
    <row r="277" spans="1:10" ht="15.75" customHeight="1">
      <c r="A277" s="7" t="s">
        <v>324</v>
      </c>
    </row>
    <row r="278" spans="1:10" ht="15.75" customHeight="1">
      <c r="A278" s="7" t="s">
        <v>325</v>
      </c>
    </row>
    <row r="279" spans="1:10" ht="34.5" customHeight="1">
      <c r="A279" s="212" t="s">
        <v>326</v>
      </c>
      <c r="B279" s="212"/>
      <c r="C279" s="212"/>
      <c r="D279" s="212"/>
      <c r="E279" s="212"/>
      <c r="F279" s="212"/>
      <c r="G279" s="212"/>
      <c r="H279" s="212"/>
      <c r="I279" s="212"/>
      <c r="J279" s="212"/>
    </row>
    <row r="280" spans="1:10" ht="15.75" customHeight="1">
      <c r="A280" s="68" t="s">
        <v>327</v>
      </c>
    </row>
    <row r="281" spans="1:10" ht="15.75" customHeight="1">
      <c r="A281" s="68" t="s">
        <v>328</v>
      </c>
    </row>
    <row r="282" spans="1:10" ht="15.75" customHeight="1">
      <c r="A282" s="68" t="s">
        <v>329</v>
      </c>
    </row>
    <row r="283" spans="1:10" ht="15.75" customHeight="1"/>
    <row r="284" spans="1:10" ht="15.75" customHeight="1">
      <c r="A284" s="7" t="s">
        <v>330</v>
      </c>
    </row>
    <row r="285" spans="1:10" ht="21" customHeight="1">
      <c r="A285" s="213" t="s">
        <v>331</v>
      </c>
      <c r="B285" s="213"/>
      <c r="C285" s="213"/>
      <c r="D285" s="213"/>
      <c r="E285" s="213"/>
      <c r="F285" s="214"/>
      <c r="G285" s="214"/>
      <c r="H285" s="214"/>
      <c r="I285" s="214"/>
      <c r="J285" s="214"/>
    </row>
    <row r="286" spans="1:10" ht="45.75" customHeight="1">
      <c r="A286" s="215" t="s">
        <v>332</v>
      </c>
      <c r="B286" s="215"/>
      <c r="C286" s="215"/>
      <c r="D286" s="215"/>
      <c r="E286" s="215"/>
      <c r="F286" s="215"/>
      <c r="G286" s="215"/>
      <c r="H286" s="215"/>
      <c r="I286" s="215"/>
      <c r="J286" s="215"/>
    </row>
    <row r="287" spans="1:10" ht="75.75" customHeight="1">
      <c r="A287" s="215" t="s">
        <v>333</v>
      </c>
      <c r="B287" s="215"/>
      <c r="C287" s="215"/>
      <c r="D287" s="215"/>
      <c r="E287" s="215"/>
      <c r="F287" s="215"/>
      <c r="G287" s="215"/>
      <c r="H287" s="215"/>
      <c r="I287" s="215"/>
      <c r="J287" s="215"/>
    </row>
    <row r="288" spans="1:10" ht="15.75" customHeight="1"/>
    <row r="289" spans="1:10" ht="15" customHeight="1">
      <c r="A289" s="216" t="s">
        <v>334</v>
      </c>
      <c r="B289" s="216"/>
      <c r="C289" s="216"/>
      <c r="D289" s="216"/>
      <c r="E289" s="216"/>
      <c r="F289" s="216"/>
      <c r="G289" s="216"/>
      <c r="H289" s="216"/>
      <c r="I289" s="216"/>
      <c r="J289" s="216"/>
    </row>
    <row r="290" spans="1:10" ht="15.75" customHeight="1"/>
    <row r="291" spans="1:10" ht="15.75" customHeight="1">
      <c r="A291" s="7" t="s">
        <v>335</v>
      </c>
    </row>
    <row r="292" spans="1:10" ht="59.25" customHeight="1">
      <c r="A292" s="216" t="s">
        <v>336</v>
      </c>
      <c r="B292" s="216"/>
      <c r="C292" s="216"/>
      <c r="D292" s="216"/>
      <c r="E292" s="216"/>
      <c r="F292" s="216"/>
      <c r="G292" s="216"/>
      <c r="H292" s="216"/>
      <c r="I292" s="216"/>
      <c r="J292" s="216"/>
    </row>
    <row r="293" spans="1:10" ht="15.75" customHeight="1"/>
    <row r="294" spans="1:10" ht="15.75" customHeight="1">
      <c r="A294" s="7" t="s">
        <v>337</v>
      </c>
    </row>
    <row r="295" spans="1:10" ht="43.5" customHeight="1">
      <c r="A295" s="216" t="s">
        <v>338</v>
      </c>
      <c r="B295" s="216"/>
      <c r="C295" s="216"/>
      <c r="D295" s="216"/>
      <c r="E295" s="216"/>
      <c r="F295" s="216"/>
      <c r="G295" s="216"/>
      <c r="H295" s="216"/>
      <c r="I295" s="216"/>
      <c r="J295" s="216"/>
    </row>
    <row r="296" spans="1:10" ht="27.75" customHeight="1">
      <c r="A296" s="216" t="s">
        <v>339</v>
      </c>
      <c r="B296" s="216"/>
      <c r="C296" s="216"/>
      <c r="D296" s="216"/>
      <c r="E296" s="216"/>
      <c r="F296" s="216"/>
      <c r="G296" s="216"/>
      <c r="H296" s="216"/>
      <c r="I296" s="216"/>
      <c r="J296" s="216"/>
    </row>
    <row r="297" spans="1:10" ht="15.75" customHeight="1"/>
    <row r="298" spans="1:10" ht="15.75" customHeight="1">
      <c r="A298" s="7" t="s">
        <v>340</v>
      </c>
    </row>
    <row r="299" spans="1:10" ht="72" customHeight="1">
      <c r="A299" s="216" t="s">
        <v>341</v>
      </c>
      <c r="B299" s="216"/>
      <c r="C299" s="216"/>
      <c r="D299" s="216"/>
      <c r="E299" s="216"/>
      <c r="F299" s="216"/>
      <c r="G299" s="216"/>
      <c r="H299" s="216"/>
      <c r="I299" s="216"/>
      <c r="J299" s="216"/>
    </row>
    <row r="300" spans="1:10" ht="15.75" customHeight="1"/>
    <row r="301" spans="1:10" ht="15.75" customHeight="1">
      <c r="A301" s="7" t="s">
        <v>342</v>
      </c>
    </row>
    <row r="302" spans="1:10" ht="15.75" customHeight="1">
      <c r="A302" t="s">
        <v>343</v>
      </c>
    </row>
    <row r="303" spans="1:10" ht="15.75" customHeight="1">
      <c r="A303" t="s">
        <v>344</v>
      </c>
    </row>
    <row r="304" spans="1:10" ht="15.75" customHeight="1">
      <c r="A304" t="s">
        <v>345</v>
      </c>
    </row>
    <row r="305" spans="1:10" ht="15.75" customHeight="1">
      <c r="A305" t="s">
        <v>346</v>
      </c>
    </row>
    <row r="306" spans="1:10" ht="45.75" customHeight="1">
      <c r="A306" s="216" t="s">
        <v>347</v>
      </c>
      <c r="B306" s="216"/>
      <c r="C306" s="216"/>
      <c r="D306" s="216"/>
      <c r="E306" s="216"/>
      <c r="F306" s="216"/>
      <c r="G306" s="216"/>
      <c r="H306" s="216"/>
      <c r="I306" s="216"/>
      <c r="J306" s="216"/>
    </row>
    <row r="307" spans="1:10" ht="42" customHeight="1">
      <c r="A307" s="69" t="s">
        <v>348</v>
      </c>
      <c r="B307" s="69" t="s">
        <v>349</v>
      </c>
      <c r="C307" s="217" t="s">
        <v>350</v>
      </c>
      <c r="D307" s="217"/>
      <c r="E307" s="217"/>
      <c r="F307" s="217"/>
      <c r="G307" s="217" t="s">
        <v>351</v>
      </c>
      <c r="H307" s="217"/>
      <c r="I307" s="217"/>
      <c r="J307" s="217"/>
    </row>
    <row r="308" spans="1:10" ht="37.5" customHeight="1">
      <c r="A308" s="69" t="s">
        <v>352</v>
      </c>
      <c r="B308" s="69" t="s">
        <v>353</v>
      </c>
      <c r="C308" s="217" t="s">
        <v>354</v>
      </c>
      <c r="D308" s="217"/>
      <c r="E308" s="217"/>
      <c r="F308" s="217"/>
      <c r="G308" s="217" t="s">
        <v>355</v>
      </c>
      <c r="H308" s="217"/>
      <c r="I308" s="217"/>
      <c r="J308" s="217"/>
    </row>
    <row r="309" spans="1:10" ht="31.5" customHeight="1">
      <c r="A309" s="69" t="s">
        <v>356</v>
      </c>
      <c r="B309" s="69" t="s">
        <v>357</v>
      </c>
      <c r="C309" s="217" t="s">
        <v>358</v>
      </c>
      <c r="D309" s="217"/>
      <c r="E309" s="217"/>
      <c r="F309" s="217"/>
      <c r="G309" s="217" t="s">
        <v>359</v>
      </c>
      <c r="H309" s="217"/>
      <c r="I309" s="217"/>
      <c r="J309" s="217"/>
    </row>
    <row r="310" spans="1:10" ht="30.75" customHeight="1">
      <c r="A310" s="69" t="s">
        <v>360</v>
      </c>
      <c r="B310" s="69" t="s">
        <v>361</v>
      </c>
      <c r="C310" s="217" t="s">
        <v>362</v>
      </c>
      <c r="D310" s="217"/>
      <c r="E310" s="217"/>
      <c r="F310" s="217"/>
      <c r="G310" s="217" t="s">
        <v>363</v>
      </c>
      <c r="H310" s="217"/>
      <c r="I310" s="217"/>
      <c r="J310" s="217"/>
    </row>
    <row r="311" spans="1:10" ht="30" customHeight="1">
      <c r="A311" s="70" t="s">
        <v>41</v>
      </c>
      <c r="B311" s="70" t="s">
        <v>41</v>
      </c>
      <c r="C311" s="217" t="s">
        <v>364</v>
      </c>
      <c r="D311" s="217"/>
      <c r="E311" s="217"/>
      <c r="F311" s="217"/>
      <c r="G311" s="217" t="s">
        <v>365</v>
      </c>
      <c r="H311" s="217"/>
      <c r="I311" s="217"/>
      <c r="J311" s="217"/>
    </row>
    <row r="312" spans="1:10" ht="39" customHeight="1">
      <c r="A312" s="69" t="s">
        <v>366</v>
      </c>
      <c r="B312" s="69" t="s">
        <v>366</v>
      </c>
      <c r="C312" s="217" t="s">
        <v>367</v>
      </c>
      <c r="D312" s="217"/>
      <c r="E312" s="217"/>
      <c r="F312" s="217"/>
      <c r="G312" s="217" t="s">
        <v>368</v>
      </c>
      <c r="H312" s="217"/>
      <c r="I312" s="217"/>
      <c r="J312" s="217"/>
    </row>
    <row r="313" spans="1:10" ht="26.25" customHeight="1">
      <c r="A313" s="70" t="s">
        <v>353</v>
      </c>
      <c r="B313" s="70" t="s">
        <v>353</v>
      </c>
      <c r="C313" s="217" t="s">
        <v>369</v>
      </c>
      <c r="D313" s="217"/>
      <c r="E313" s="217"/>
      <c r="F313" s="217"/>
      <c r="G313" s="217" t="s">
        <v>370</v>
      </c>
      <c r="H313" s="217"/>
      <c r="I313" s="217"/>
      <c r="J313" s="217"/>
    </row>
    <row r="314" spans="1:10" ht="15.75" customHeight="1">
      <c r="A314" s="7" t="s">
        <v>371</v>
      </c>
    </row>
    <row r="315" spans="1:10" ht="15.75" customHeight="1">
      <c r="A315" t="s">
        <v>372</v>
      </c>
    </row>
    <row r="316" spans="1:10" ht="30.75" customHeight="1">
      <c r="A316" s="218" t="s">
        <v>373</v>
      </c>
      <c r="B316" s="218"/>
      <c r="C316" s="218"/>
      <c r="D316" s="218" t="s">
        <v>374</v>
      </c>
      <c r="E316" s="218"/>
      <c r="F316" s="218"/>
      <c r="G316" s="218" t="s">
        <v>371</v>
      </c>
      <c r="H316" s="218"/>
      <c r="I316" s="218"/>
      <c r="J316" s="218"/>
    </row>
    <row r="317" spans="1:10" ht="48" customHeight="1">
      <c r="A317" s="219" t="s">
        <v>375</v>
      </c>
      <c r="B317" s="219"/>
      <c r="C317" s="219"/>
      <c r="D317" s="116" t="s">
        <v>376</v>
      </c>
      <c r="E317" s="116"/>
      <c r="F317" s="116"/>
      <c r="G317" s="116" t="s">
        <v>377</v>
      </c>
      <c r="H317" s="116"/>
      <c r="I317" s="116"/>
      <c r="J317" s="116"/>
    </row>
    <row r="318" spans="1:10" ht="47.25" customHeight="1">
      <c r="A318" s="220" t="s">
        <v>378</v>
      </c>
      <c r="B318" s="220"/>
      <c r="C318" s="220"/>
      <c r="D318" s="116" t="s">
        <v>379</v>
      </c>
      <c r="E318" s="116"/>
      <c r="F318" s="116"/>
      <c r="G318" s="116" t="s">
        <v>380</v>
      </c>
      <c r="H318" s="116"/>
      <c r="I318" s="116"/>
      <c r="J318" s="116"/>
    </row>
    <row r="319" spans="1:10" ht="61.5" customHeight="1">
      <c r="A319" s="221" t="s">
        <v>381</v>
      </c>
      <c r="B319" s="221"/>
      <c r="C319" s="221"/>
      <c r="D319" s="116" t="s">
        <v>382</v>
      </c>
      <c r="E319" s="116"/>
      <c r="F319" s="116"/>
      <c r="G319" s="116" t="s">
        <v>383</v>
      </c>
      <c r="H319" s="116"/>
      <c r="I319" s="116"/>
      <c r="J319" s="116"/>
    </row>
    <row r="320" spans="1:10" ht="32.25" customHeight="1">
      <c r="A320" s="222" t="s">
        <v>384</v>
      </c>
      <c r="B320" s="222"/>
      <c r="C320" s="222"/>
      <c r="D320" s="116" t="s">
        <v>385</v>
      </c>
      <c r="E320" s="116"/>
      <c r="F320" s="116"/>
      <c r="G320" s="116" t="s">
        <v>386</v>
      </c>
      <c r="H320" s="116"/>
      <c r="I320" s="116"/>
      <c r="J320" s="116"/>
    </row>
    <row r="321" spans="1:10" ht="15.75" customHeight="1"/>
    <row r="322" spans="1:10" ht="15.75" customHeight="1">
      <c r="A322" s="7" t="s">
        <v>387</v>
      </c>
    </row>
    <row r="323" spans="1:10" ht="45" customHeight="1">
      <c r="A323" s="216" t="s">
        <v>388</v>
      </c>
      <c r="B323" s="216"/>
      <c r="C323" s="216"/>
      <c r="D323" s="216"/>
      <c r="E323" s="216"/>
      <c r="F323" s="216"/>
      <c r="G323" s="216"/>
      <c r="H323" s="216"/>
      <c r="I323" s="216"/>
      <c r="J323" s="216"/>
    </row>
    <row r="324" spans="1:10" ht="15.75" customHeight="1"/>
    <row r="325" spans="1:10" ht="15.75" customHeight="1">
      <c r="A325" s="19" t="s">
        <v>389</v>
      </c>
    </row>
    <row r="326" spans="1:10" ht="15.75" customHeight="1">
      <c r="A326" t="s">
        <v>390</v>
      </c>
    </row>
    <row r="327" spans="1:10" ht="30.75" customHeight="1">
      <c r="A327" s="223" t="s">
        <v>391</v>
      </c>
      <c r="B327" s="223"/>
      <c r="C327" s="223"/>
      <c r="D327" s="223"/>
      <c r="E327" s="223"/>
      <c r="F327" s="223"/>
      <c r="G327" s="223"/>
      <c r="H327" s="223"/>
      <c r="I327" s="223"/>
      <c r="J327" s="223"/>
    </row>
    <row r="328" spans="1:10" ht="15.75" customHeight="1">
      <c r="A328" s="71" t="s">
        <v>392</v>
      </c>
      <c r="B328" s="72"/>
      <c r="C328" s="72"/>
      <c r="D328" s="72"/>
      <c r="E328" s="72"/>
      <c r="F328" s="72"/>
      <c r="G328" s="72"/>
      <c r="H328" s="72"/>
      <c r="I328" s="72"/>
      <c r="J328" s="72"/>
    </row>
    <row r="329" spans="1:10" ht="15.75" customHeight="1">
      <c r="A329" s="72" t="s">
        <v>393</v>
      </c>
    </row>
    <row r="330" spans="1:10" ht="15.75" customHeight="1"/>
    <row r="331" spans="1:10" ht="15.75" customHeight="1">
      <c r="A331" t="s">
        <v>394</v>
      </c>
      <c r="B331" s="224"/>
      <c r="C331" s="224"/>
      <c r="D331" s="224"/>
      <c r="E331" s="224"/>
      <c r="F331" s="224"/>
      <c r="G331" s="224"/>
      <c r="H331" s="224"/>
      <c r="I331" s="224"/>
      <c r="J331" s="224"/>
    </row>
    <row r="332" spans="1:10" ht="15.75" customHeight="1">
      <c r="A332" s="89"/>
      <c r="B332" s="89"/>
      <c r="C332" s="89"/>
      <c r="D332" s="89"/>
      <c r="E332" s="89"/>
      <c r="F332" s="89"/>
      <c r="G332" s="89"/>
      <c r="H332" s="89"/>
      <c r="I332" s="89"/>
      <c r="J332" s="89"/>
    </row>
    <row r="333" spans="1:10" ht="15.75" customHeight="1">
      <c r="A333" s="89"/>
      <c r="B333" s="89"/>
      <c r="C333" s="89"/>
      <c r="D333" s="89"/>
      <c r="E333" s="89"/>
      <c r="F333" s="89"/>
      <c r="G333" s="89"/>
      <c r="H333" s="89"/>
      <c r="I333" s="89"/>
      <c r="J333" s="89"/>
    </row>
    <row r="334" spans="1:10" ht="15.75" customHeight="1">
      <c r="A334" s="89"/>
      <c r="B334" s="89"/>
      <c r="C334" s="89"/>
      <c r="D334" s="89"/>
      <c r="E334" s="89"/>
      <c r="F334" s="89"/>
      <c r="G334" s="89"/>
      <c r="H334" s="89"/>
      <c r="I334" s="89"/>
      <c r="J334" s="89"/>
    </row>
    <row r="335" spans="1:10" ht="15.75" customHeight="1">
      <c r="A335" s="89"/>
      <c r="B335" s="89"/>
      <c r="C335" s="89"/>
      <c r="D335" s="89"/>
      <c r="E335" s="89"/>
      <c r="F335" s="89"/>
      <c r="G335" s="89"/>
      <c r="H335" s="89"/>
      <c r="I335" s="89"/>
      <c r="J335" s="89"/>
    </row>
    <row r="336" spans="1:10" ht="15.75" customHeight="1">
      <c r="A336" s="89"/>
      <c r="B336" s="89"/>
      <c r="C336" s="89"/>
      <c r="D336" s="89"/>
      <c r="E336" s="89"/>
      <c r="F336" s="89"/>
      <c r="G336" s="89"/>
      <c r="H336" s="89"/>
      <c r="I336" s="89"/>
      <c r="J336" s="89"/>
    </row>
    <row r="337" spans="1:10" ht="15.75" customHeight="1">
      <c r="A337" s="89"/>
      <c r="B337" s="89"/>
      <c r="C337" s="89"/>
      <c r="D337" s="89"/>
      <c r="E337" s="89"/>
      <c r="F337" s="89"/>
      <c r="G337" s="89"/>
      <c r="H337" s="89"/>
      <c r="I337" s="89"/>
      <c r="J337" s="89"/>
    </row>
    <row r="338" spans="1:10" ht="15.75" customHeight="1"/>
    <row r="339" spans="1:10" ht="15.75" customHeight="1">
      <c r="A339" t="s">
        <v>395</v>
      </c>
      <c r="B339" s="225"/>
      <c r="C339" s="225"/>
    </row>
    <row r="340" spans="1:10" ht="15.75" customHeight="1"/>
    <row r="341" spans="1:10" ht="15.75" customHeight="1">
      <c r="A341" t="s">
        <v>396</v>
      </c>
      <c r="E341" t="s">
        <v>397</v>
      </c>
    </row>
    <row r="342" spans="1:10" ht="15.75" customHeight="1"/>
    <row r="343" spans="1:10" ht="15.75" customHeight="1"/>
    <row r="344" spans="1:10" ht="15.75" customHeight="1">
      <c r="E344" t="s">
        <v>398</v>
      </c>
    </row>
    <row r="345" spans="1:10" ht="15.75" customHeight="1"/>
    <row r="346" spans="1:10" ht="15.75" customHeight="1"/>
    <row r="347" spans="1:10" ht="15.75" customHeight="1"/>
    <row r="348" spans="1:10" ht="15.75" customHeight="1"/>
    <row r="349" spans="1:10" ht="15.75" customHeight="1"/>
    <row r="350" spans="1:10" ht="15.75" customHeight="1"/>
    <row r="351" spans="1:10" ht="15.75" customHeight="1"/>
    <row r="352" spans="1:10" ht="15.75" customHeight="1"/>
    <row r="353" spans="1:10" ht="18.75" customHeight="1">
      <c r="A353" s="226" t="s">
        <v>399</v>
      </c>
      <c r="B353" s="226"/>
      <c r="C353" s="226"/>
      <c r="D353" s="226"/>
      <c r="E353" s="226"/>
      <c r="F353" s="226"/>
      <c r="G353" s="226"/>
      <c r="H353" s="226"/>
      <c r="I353" s="226"/>
      <c r="J353" s="226"/>
    </row>
    <row r="354" spans="1:10" ht="15.75" customHeight="1">
      <c r="A354" s="89" t="s">
        <v>400</v>
      </c>
      <c r="B354" s="89"/>
      <c r="C354" s="227"/>
      <c r="D354" s="227"/>
      <c r="E354" s="227"/>
      <c r="F354" s="227"/>
      <c r="G354" s="227"/>
      <c r="H354" s="227"/>
      <c r="I354" s="227"/>
      <c r="J354" s="227"/>
    </row>
    <row r="355" spans="1:10" ht="15.75" customHeight="1">
      <c r="A355" s="89" t="s">
        <v>401</v>
      </c>
      <c r="B355" s="89"/>
      <c r="C355" s="208"/>
      <c r="D355" s="208"/>
      <c r="E355" s="208"/>
      <c r="F355" s="208"/>
      <c r="G355" s="208"/>
      <c r="H355" s="208"/>
      <c r="I355" s="208"/>
      <c r="J355" s="208"/>
    </row>
    <row r="356" spans="1:10" ht="15.75" customHeight="1">
      <c r="A356" s="89" t="s">
        <v>402</v>
      </c>
      <c r="B356" s="89"/>
      <c r="C356" s="1" t="s">
        <v>403</v>
      </c>
      <c r="D356" s="1" t="s">
        <v>404</v>
      </c>
      <c r="E356" s="96" t="s">
        <v>405</v>
      </c>
      <c r="F356" s="96"/>
      <c r="G356" s="96"/>
      <c r="H356" s="96"/>
      <c r="I356" s="96"/>
      <c r="J356" s="96"/>
    </row>
    <row r="357" spans="1:10" ht="15.75" customHeight="1">
      <c r="A357" s="96" t="s">
        <v>406</v>
      </c>
      <c r="B357" s="96"/>
      <c r="C357" s="96"/>
      <c r="D357" s="96"/>
      <c r="E357" s="96"/>
      <c r="F357" s="96"/>
      <c r="G357" s="96"/>
      <c r="H357" s="96"/>
      <c r="I357" s="96"/>
      <c r="J357" s="96"/>
    </row>
    <row r="358" spans="1:10" ht="15.75" customHeight="1">
      <c r="A358" s="89"/>
      <c r="B358" s="89"/>
      <c r="C358" s="89"/>
      <c r="D358" s="89"/>
      <c r="E358" s="89"/>
      <c r="F358" s="89"/>
      <c r="G358" s="89"/>
      <c r="H358" s="89"/>
      <c r="I358" s="89"/>
      <c r="J358" s="89"/>
    </row>
    <row r="359" spans="1:10" ht="15.75" customHeight="1">
      <c r="A359" s="89"/>
      <c r="B359" s="89"/>
      <c r="C359" s="89"/>
      <c r="D359" s="89"/>
      <c r="E359" s="89"/>
      <c r="F359" s="89"/>
      <c r="G359" s="89"/>
      <c r="H359" s="89"/>
      <c r="I359" s="89"/>
      <c r="J359" s="89"/>
    </row>
    <row r="360" spans="1:10" ht="15.75" customHeight="1">
      <c r="A360" s="89"/>
      <c r="B360" s="89"/>
      <c r="C360" s="89"/>
      <c r="D360" s="89"/>
      <c r="E360" s="89"/>
      <c r="F360" s="89"/>
      <c r="G360" s="89"/>
      <c r="H360" s="89"/>
      <c r="I360" s="89"/>
      <c r="J360" s="89"/>
    </row>
    <row r="361" spans="1:10" ht="15.75" customHeight="1">
      <c r="A361" s="89"/>
      <c r="B361" s="89"/>
      <c r="C361" s="89"/>
      <c r="D361" s="89"/>
      <c r="E361" s="89"/>
      <c r="F361" s="89"/>
      <c r="G361" s="89"/>
      <c r="H361" s="89"/>
      <c r="I361" s="89"/>
      <c r="J361" s="89"/>
    </row>
    <row r="362" spans="1:10" ht="15.75" customHeight="1">
      <c r="A362" s="228"/>
      <c r="B362" s="228"/>
      <c r="C362" s="228"/>
      <c r="D362" s="228"/>
      <c r="E362" s="228"/>
      <c r="F362" s="228"/>
      <c r="G362" s="228"/>
      <c r="H362" s="228"/>
      <c r="I362" s="228"/>
      <c r="J362" s="228"/>
    </row>
    <row r="363" spans="1:10" ht="15.75" customHeight="1"/>
    <row r="364" spans="1:10" ht="15.75" customHeight="1">
      <c r="A364" t="s">
        <v>407</v>
      </c>
      <c r="B364" s="225"/>
      <c r="C364" s="225"/>
      <c r="E364" t="s">
        <v>398</v>
      </c>
    </row>
  </sheetData>
  <mergeCells count="556">
    <mergeCell ref="A362:J362"/>
    <mergeCell ref="B364:C364"/>
    <mergeCell ref="A355:B355"/>
    <mergeCell ref="C355:J355"/>
    <mergeCell ref="A356:B356"/>
    <mergeCell ref="E356:J356"/>
    <mergeCell ref="A357:J357"/>
    <mergeCell ref="A358:J358"/>
    <mergeCell ref="A359:J359"/>
    <mergeCell ref="A360:J360"/>
    <mergeCell ref="A361:J361"/>
    <mergeCell ref="A332:J332"/>
    <mergeCell ref="A333:J333"/>
    <mergeCell ref="A334:J334"/>
    <mergeCell ref="A335:J335"/>
    <mergeCell ref="A336:J336"/>
    <mergeCell ref="A337:J337"/>
    <mergeCell ref="B339:C339"/>
    <mergeCell ref="A353:J353"/>
    <mergeCell ref="A354:B354"/>
    <mergeCell ref="C354:J354"/>
    <mergeCell ref="A319:C319"/>
    <mergeCell ref="D319:F319"/>
    <mergeCell ref="G319:J319"/>
    <mergeCell ref="A320:C320"/>
    <mergeCell ref="D320:F320"/>
    <mergeCell ref="G320:J320"/>
    <mergeCell ref="A323:J323"/>
    <mergeCell ref="A327:J327"/>
    <mergeCell ref="B331:J331"/>
    <mergeCell ref="A316:C316"/>
    <mergeCell ref="D316:F316"/>
    <mergeCell ref="G316:J316"/>
    <mergeCell ref="A317:C317"/>
    <mergeCell ref="D317:F317"/>
    <mergeCell ref="G317:J317"/>
    <mergeCell ref="A318:C318"/>
    <mergeCell ref="D318:F318"/>
    <mergeCell ref="G318:J318"/>
    <mergeCell ref="C309:F309"/>
    <mergeCell ref="G309:J309"/>
    <mergeCell ref="C310:F310"/>
    <mergeCell ref="G310:J310"/>
    <mergeCell ref="C311:F311"/>
    <mergeCell ref="G311:J311"/>
    <mergeCell ref="C312:F312"/>
    <mergeCell ref="G312:J312"/>
    <mergeCell ref="C313:F313"/>
    <mergeCell ref="G313:J313"/>
    <mergeCell ref="A292:J292"/>
    <mergeCell ref="A295:J295"/>
    <mergeCell ref="A296:J296"/>
    <mergeCell ref="A299:J299"/>
    <mergeCell ref="A306:J306"/>
    <mergeCell ref="C307:F307"/>
    <mergeCell ref="G307:J307"/>
    <mergeCell ref="C308:F308"/>
    <mergeCell ref="G308:J308"/>
    <mergeCell ref="A275:C275"/>
    <mergeCell ref="D275:G275"/>
    <mergeCell ref="H275:J275"/>
    <mergeCell ref="A279:J279"/>
    <mergeCell ref="A285:E285"/>
    <mergeCell ref="F285:J285"/>
    <mergeCell ref="A286:J286"/>
    <mergeCell ref="A287:J287"/>
    <mergeCell ref="A289:J289"/>
    <mergeCell ref="A272:C272"/>
    <mergeCell ref="D272:G272"/>
    <mergeCell ref="H272:J272"/>
    <mergeCell ref="A273:C273"/>
    <mergeCell ref="D273:G273"/>
    <mergeCell ref="H273:J273"/>
    <mergeCell ref="A274:C274"/>
    <mergeCell ref="D274:G274"/>
    <mergeCell ref="H274:J274"/>
    <mergeCell ref="A261:D261"/>
    <mergeCell ref="A262:D262"/>
    <mergeCell ref="A265:H265"/>
    <mergeCell ref="A266:H266"/>
    <mergeCell ref="A267:H267"/>
    <mergeCell ref="A268:H268"/>
    <mergeCell ref="A271:C271"/>
    <mergeCell ref="D271:G271"/>
    <mergeCell ref="H271:J271"/>
    <mergeCell ref="C258:D258"/>
    <mergeCell ref="E258:F258"/>
    <mergeCell ref="G258:H258"/>
    <mergeCell ref="I258:J258"/>
    <mergeCell ref="C259:D259"/>
    <mergeCell ref="E259:F259"/>
    <mergeCell ref="G259:H259"/>
    <mergeCell ref="I259:J259"/>
    <mergeCell ref="A260:D260"/>
    <mergeCell ref="E260:F260"/>
    <mergeCell ref="G260:H260"/>
    <mergeCell ref="I260:J260"/>
    <mergeCell ref="C255:D255"/>
    <mergeCell ref="E255:F255"/>
    <mergeCell ref="G255:H255"/>
    <mergeCell ref="I255:J255"/>
    <mergeCell ref="C256:D256"/>
    <mergeCell ref="E256:F256"/>
    <mergeCell ref="G256:H256"/>
    <mergeCell ref="I256:J256"/>
    <mergeCell ref="C257:D257"/>
    <mergeCell ref="E257:F257"/>
    <mergeCell ref="G257:H257"/>
    <mergeCell ref="I257:J257"/>
    <mergeCell ref="C252:D252"/>
    <mergeCell ref="E252:F252"/>
    <mergeCell ref="G252:H252"/>
    <mergeCell ref="I252:J252"/>
    <mergeCell ref="C253:D253"/>
    <mergeCell ref="E253:F253"/>
    <mergeCell ref="G253:H253"/>
    <mergeCell ref="I253:J253"/>
    <mergeCell ref="C254:D254"/>
    <mergeCell ref="E254:F254"/>
    <mergeCell ref="G254:H254"/>
    <mergeCell ref="I254:J254"/>
    <mergeCell ref="C249:D249"/>
    <mergeCell ref="E249:F249"/>
    <mergeCell ref="G249:H249"/>
    <mergeCell ref="I249:J249"/>
    <mergeCell ref="C250:D250"/>
    <mergeCell ref="E250:F250"/>
    <mergeCell ref="G250:H250"/>
    <mergeCell ref="I250:J250"/>
    <mergeCell ref="C251:D251"/>
    <mergeCell ref="E251:F251"/>
    <mergeCell ref="G251:H251"/>
    <mergeCell ref="I251:J251"/>
    <mergeCell ref="A246:J246"/>
    <mergeCell ref="C247:D247"/>
    <mergeCell ref="E247:F247"/>
    <mergeCell ref="G247:H247"/>
    <mergeCell ref="I247:J247"/>
    <mergeCell ref="C248:D248"/>
    <mergeCell ref="E248:F248"/>
    <mergeCell ref="G248:H248"/>
    <mergeCell ref="I248:J248"/>
    <mergeCell ref="A243:B243"/>
    <mergeCell ref="C243:D243"/>
    <mergeCell ref="E243:F243"/>
    <mergeCell ref="G243:H243"/>
    <mergeCell ref="I243:J243"/>
    <mergeCell ref="A244:B244"/>
    <mergeCell ref="C244:D244"/>
    <mergeCell ref="E244:F244"/>
    <mergeCell ref="G244:H244"/>
    <mergeCell ref="I244:J244"/>
    <mergeCell ref="A237:C238"/>
    <mergeCell ref="D237:E238"/>
    <mergeCell ref="F237:J238"/>
    <mergeCell ref="A239:C240"/>
    <mergeCell ref="D239:E240"/>
    <mergeCell ref="F239:J240"/>
    <mergeCell ref="A241:C241"/>
    <mergeCell ref="D241:J241"/>
    <mergeCell ref="A242:J242"/>
    <mergeCell ref="A232:C234"/>
    <mergeCell ref="D232:E234"/>
    <mergeCell ref="F232:H232"/>
    <mergeCell ref="I232:J232"/>
    <mergeCell ref="F233:H233"/>
    <mergeCell ref="I233:J233"/>
    <mergeCell ref="F234:H234"/>
    <mergeCell ref="I234:J234"/>
    <mergeCell ref="A235:C236"/>
    <mergeCell ref="D235:E236"/>
    <mergeCell ref="F235:J236"/>
    <mergeCell ref="A224:B224"/>
    <mergeCell ref="A228:C228"/>
    <mergeCell ref="D228:E228"/>
    <mergeCell ref="F228:H228"/>
    <mergeCell ref="I228:J228"/>
    <mergeCell ref="A229:C231"/>
    <mergeCell ref="D229:E231"/>
    <mergeCell ref="F229:H229"/>
    <mergeCell ref="I229:J229"/>
    <mergeCell ref="F230:H230"/>
    <mergeCell ref="I230:J230"/>
    <mergeCell ref="F231:H231"/>
    <mergeCell ref="I231:J231"/>
    <mergeCell ref="D216:E216"/>
    <mergeCell ref="G216:H216"/>
    <mergeCell ref="G217:H217"/>
    <mergeCell ref="A218:B218"/>
    <mergeCell ref="A219:B219"/>
    <mergeCell ref="A220:B220"/>
    <mergeCell ref="A221:B221"/>
    <mergeCell ref="A222:B222"/>
    <mergeCell ref="A223:B223"/>
    <mergeCell ref="A213:B213"/>
    <mergeCell ref="D213:E213"/>
    <mergeCell ref="G213:H213"/>
    <mergeCell ref="A214:B214"/>
    <mergeCell ref="D214:E214"/>
    <mergeCell ref="G214:H214"/>
    <mergeCell ref="A215:B215"/>
    <mergeCell ref="D215:E215"/>
    <mergeCell ref="G215:H215"/>
    <mergeCell ref="A210:B210"/>
    <mergeCell ref="D210:E210"/>
    <mergeCell ref="G210:H210"/>
    <mergeCell ref="A211:B211"/>
    <mergeCell ref="D211:E211"/>
    <mergeCell ref="G211:H211"/>
    <mergeCell ref="A212:B212"/>
    <mergeCell ref="D212:E212"/>
    <mergeCell ref="G212:H212"/>
    <mergeCell ref="A207:B207"/>
    <mergeCell ref="D207:E207"/>
    <mergeCell ref="G207:H207"/>
    <mergeCell ref="A208:B208"/>
    <mergeCell ref="D208:E208"/>
    <mergeCell ref="G208:H208"/>
    <mergeCell ref="A209:B209"/>
    <mergeCell ref="D209:E209"/>
    <mergeCell ref="G209:H209"/>
    <mergeCell ref="A201:C201"/>
    <mergeCell ref="D201:E201"/>
    <mergeCell ref="A202:C202"/>
    <mergeCell ref="D202:E202"/>
    <mergeCell ref="A203:C203"/>
    <mergeCell ref="D203:E203"/>
    <mergeCell ref="A197:C197"/>
    <mergeCell ref="D197:E197"/>
    <mergeCell ref="A198:C198"/>
    <mergeCell ref="D198:E198"/>
    <mergeCell ref="F198:J198"/>
    <mergeCell ref="A199:C199"/>
    <mergeCell ref="D199:E199"/>
    <mergeCell ref="A200:C200"/>
    <mergeCell ref="D200:E200"/>
    <mergeCell ref="A192:C192"/>
    <mergeCell ref="D192:E192"/>
    <mergeCell ref="G192:J194"/>
    <mergeCell ref="A193:C193"/>
    <mergeCell ref="D193:E193"/>
    <mergeCell ref="A194:C194"/>
    <mergeCell ref="D194:E194"/>
    <mergeCell ref="A195:C195"/>
    <mergeCell ref="D195:E195"/>
    <mergeCell ref="G195:J196"/>
    <mergeCell ref="A196:C196"/>
    <mergeCell ref="D196:E196"/>
    <mergeCell ref="A186:C186"/>
    <mergeCell ref="D186:E186"/>
    <mergeCell ref="G186:J188"/>
    <mergeCell ref="A187:C187"/>
    <mergeCell ref="D187:E187"/>
    <mergeCell ref="A188:C188"/>
    <mergeCell ref="D188:E188"/>
    <mergeCell ref="A189:C189"/>
    <mergeCell ref="D189:E189"/>
    <mergeCell ref="G189:J191"/>
    <mergeCell ref="A190:C190"/>
    <mergeCell ref="D190:E190"/>
    <mergeCell ref="A191:C191"/>
    <mergeCell ref="D191:E191"/>
    <mergeCell ref="A180:C180"/>
    <mergeCell ref="D180:E180"/>
    <mergeCell ref="F180:F184"/>
    <mergeCell ref="G180:J180"/>
    <mergeCell ref="A181:C181"/>
    <mergeCell ref="D181:E181"/>
    <mergeCell ref="G181:J185"/>
    <mergeCell ref="A182:C182"/>
    <mergeCell ref="D182:E182"/>
    <mergeCell ref="A183:C183"/>
    <mergeCell ref="D183:E183"/>
    <mergeCell ref="A184:C184"/>
    <mergeCell ref="D184:E184"/>
    <mergeCell ref="A185:C185"/>
    <mergeCell ref="D185:E185"/>
    <mergeCell ref="F167:J167"/>
    <mergeCell ref="F168:J172"/>
    <mergeCell ref="F173:J176"/>
    <mergeCell ref="A174:C174"/>
    <mergeCell ref="A175:E176"/>
    <mergeCell ref="A177:A178"/>
    <mergeCell ref="B177:E177"/>
    <mergeCell ref="G177:J177"/>
    <mergeCell ref="B178:E178"/>
    <mergeCell ref="G178:J179"/>
    <mergeCell ref="A179:C179"/>
    <mergeCell ref="D179:E179"/>
    <mergeCell ref="A158:F158"/>
    <mergeCell ref="G158:J158"/>
    <mergeCell ref="A159:F159"/>
    <mergeCell ref="G159:J159"/>
    <mergeCell ref="A160:J160"/>
    <mergeCell ref="A164:J164"/>
    <mergeCell ref="B165:E165"/>
    <mergeCell ref="G165:J165"/>
    <mergeCell ref="A166:E166"/>
    <mergeCell ref="F166:J166"/>
    <mergeCell ref="A151:C153"/>
    <mergeCell ref="D151:H151"/>
    <mergeCell ref="D152:H152"/>
    <mergeCell ref="D153:H153"/>
    <mergeCell ref="A154:I154"/>
    <mergeCell ref="A155:J155"/>
    <mergeCell ref="A156:F156"/>
    <mergeCell ref="G156:J156"/>
    <mergeCell ref="A157:F157"/>
    <mergeCell ref="G157:J157"/>
    <mergeCell ref="A142:C143"/>
    <mergeCell ref="D142:H142"/>
    <mergeCell ref="D143:H143"/>
    <mergeCell ref="A144:C147"/>
    <mergeCell ref="D144:H144"/>
    <mergeCell ref="D145:H145"/>
    <mergeCell ref="D146:H146"/>
    <mergeCell ref="D147:H147"/>
    <mergeCell ref="A148:C150"/>
    <mergeCell ref="D148:H148"/>
    <mergeCell ref="D149:H149"/>
    <mergeCell ref="D150:H150"/>
    <mergeCell ref="A134:C136"/>
    <mergeCell ref="D134:H134"/>
    <mergeCell ref="D135:H135"/>
    <mergeCell ref="D136:H136"/>
    <mergeCell ref="A137:J137"/>
    <mergeCell ref="A138:C141"/>
    <mergeCell ref="D138:H138"/>
    <mergeCell ref="D139:H139"/>
    <mergeCell ref="D140:H140"/>
    <mergeCell ref="D141:H141"/>
    <mergeCell ref="A125:C133"/>
    <mergeCell ref="D125:H125"/>
    <mergeCell ref="D126:H126"/>
    <mergeCell ref="D127:H127"/>
    <mergeCell ref="D128:H128"/>
    <mergeCell ref="D129:H129"/>
    <mergeCell ref="D130:H130"/>
    <mergeCell ref="D131:H131"/>
    <mergeCell ref="D132:H132"/>
    <mergeCell ref="D133:H133"/>
    <mergeCell ref="A118:C120"/>
    <mergeCell ref="D118:H118"/>
    <mergeCell ref="D119:H119"/>
    <mergeCell ref="D120:H120"/>
    <mergeCell ref="A121:C124"/>
    <mergeCell ref="D121:H121"/>
    <mergeCell ref="D122:H122"/>
    <mergeCell ref="D123:H123"/>
    <mergeCell ref="D124:H124"/>
    <mergeCell ref="A106:C110"/>
    <mergeCell ref="D106:H106"/>
    <mergeCell ref="D107:H107"/>
    <mergeCell ref="D108:H108"/>
    <mergeCell ref="D109:H109"/>
    <mergeCell ref="D110:H110"/>
    <mergeCell ref="A111:C117"/>
    <mergeCell ref="D111:H111"/>
    <mergeCell ref="D112:H112"/>
    <mergeCell ref="D113:H113"/>
    <mergeCell ref="D114:H114"/>
    <mergeCell ref="D115:H115"/>
    <mergeCell ref="D116:H116"/>
    <mergeCell ref="D117:H117"/>
    <mergeCell ref="A98:J98"/>
    <mergeCell ref="A99:B99"/>
    <mergeCell ref="C99:E99"/>
    <mergeCell ref="F99:G99"/>
    <mergeCell ref="A101:H101"/>
    <mergeCell ref="A102:C105"/>
    <mergeCell ref="D102:H102"/>
    <mergeCell ref="D103:H103"/>
    <mergeCell ref="D104:H104"/>
    <mergeCell ref="D105:H105"/>
    <mergeCell ref="H99:J99"/>
    <mergeCell ref="J93:J94"/>
    <mergeCell ref="A95:J95"/>
    <mergeCell ref="A96:A97"/>
    <mergeCell ref="B96:B97"/>
    <mergeCell ref="C96:C97"/>
    <mergeCell ref="D96:D97"/>
    <mergeCell ref="E96:E97"/>
    <mergeCell ref="F96:F97"/>
    <mergeCell ref="G96:G97"/>
    <mergeCell ref="H96:J97"/>
    <mergeCell ref="A93:A94"/>
    <mergeCell ref="B93:B94"/>
    <mergeCell ref="C93:C94"/>
    <mergeCell ref="D93:D94"/>
    <mergeCell ref="E93:E94"/>
    <mergeCell ref="F93:F94"/>
    <mergeCell ref="G93:G94"/>
    <mergeCell ref="H93:H94"/>
    <mergeCell ref="I93:I94"/>
    <mergeCell ref="B80:J80"/>
    <mergeCell ref="B81:J81"/>
    <mergeCell ref="B82:J82"/>
    <mergeCell ref="A84:J84"/>
    <mergeCell ref="B85:J85"/>
    <mergeCell ref="B86:J86"/>
    <mergeCell ref="B87:J87"/>
    <mergeCell ref="B88:J88"/>
    <mergeCell ref="A92:D92"/>
    <mergeCell ref="E92:J92"/>
    <mergeCell ref="A76:B76"/>
    <mergeCell ref="C76:D76"/>
    <mergeCell ref="E76:F76"/>
    <mergeCell ref="H76:I76"/>
    <mergeCell ref="A77:B77"/>
    <mergeCell ref="C77:D77"/>
    <mergeCell ref="E77:F77"/>
    <mergeCell ref="H77:I77"/>
    <mergeCell ref="A79:J79"/>
    <mergeCell ref="A72:B73"/>
    <mergeCell ref="C72:D72"/>
    <mergeCell ref="E72:F72"/>
    <mergeCell ref="H72:I72"/>
    <mergeCell ref="C73:D73"/>
    <mergeCell ref="E73:F73"/>
    <mergeCell ref="H73:I73"/>
    <mergeCell ref="A74:B75"/>
    <mergeCell ref="C74:D74"/>
    <mergeCell ref="E74:F74"/>
    <mergeCell ref="H74:I74"/>
    <mergeCell ref="C75:D75"/>
    <mergeCell ref="E75:F75"/>
    <mergeCell ref="H75:I75"/>
    <mergeCell ref="A68:B69"/>
    <mergeCell ref="C68:D68"/>
    <mergeCell ref="E68:F68"/>
    <mergeCell ref="H68:I68"/>
    <mergeCell ref="C69:D69"/>
    <mergeCell ref="E69:F69"/>
    <mergeCell ref="H69:I69"/>
    <mergeCell ref="A70:B71"/>
    <mergeCell ref="C70:D70"/>
    <mergeCell ref="E70:F70"/>
    <mergeCell ref="H70:I70"/>
    <mergeCell ref="C71:D71"/>
    <mergeCell ref="E71:F71"/>
    <mergeCell ref="H71:I71"/>
    <mergeCell ref="A65:B67"/>
    <mergeCell ref="C65:D65"/>
    <mergeCell ref="E65:F65"/>
    <mergeCell ref="H65:I65"/>
    <mergeCell ref="C66:D66"/>
    <mergeCell ref="E66:F66"/>
    <mergeCell ref="H66:I66"/>
    <mergeCell ref="C67:D67"/>
    <mergeCell ref="E67:F67"/>
    <mergeCell ref="H67:I67"/>
    <mergeCell ref="A61:B64"/>
    <mergeCell ref="C61:D61"/>
    <mergeCell ref="E61:F61"/>
    <mergeCell ref="H61:I61"/>
    <mergeCell ref="C62:D62"/>
    <mergeCell ref="E62:F62"/>
    <mergeCell ref="H62:I64"/>
    <mergeCell ref="C63:D63"/>
    <mergeCell ref="E63:F63"/>
    <mergeCell ref="C64:D64"/>
    <mergeCell ref="E64:F64"/>
    <mergeCell ref="A57:B60"/>
    <mergeCell ref="C57:D57"/>
    <mergeCell ref="E57:F57"/>
    <mergeCell ref="H57:I57"/>
    <mergeCell ref="C58:D58"/>
    <mergeCell ref="E58:F58"/>
    <mergeCell ref="H58:I58"/>
    <mergeCell ref="C59:D59"/>
    <mergeCell ref="E59:F59"/>
    <mergeCell ref="H59:I59"/>
    <mergeCell ref="C60:D60"/>
    <mergeCell ref="E60:F60"/>
    <mergeCell ref="H60:I60"/>
    <mergeCell ref="A54:B54"/>
    <mergeCell ref="C54:D54"/>
    <mergeCell ref="E54:F54"/>
    <mergeCell ref="H54:I54"/>
    <mergeCell ref="A55:B56"/>
    <mergeCell ref="C55:D55"/>
    <mergeCell ref="E55:F55"/>
    <mergeCell ref="H55:I55"/>
    <mergeCell ref="C56:D56"/>
    <mergeCell ref="E56:F56"/>
    <mergeCell ref="H56:I56"/>
    <mergeCell ref="A50:B53"/>
    <mergeCell ref="C50:D50"/>
    <mergeCell ref="E50:F50"/>
    <mergeCell ref="H50:I50"/>
    <mergeCell ref="C51:D51"/>
    <mergeCell ref="E51:F51"/>
    <mergeCell ref="H51:I51"/>
    <mergeCell ref="C52:D52"/>
    <mergeCell ref="E52:F52"/>
    <mergeCell ref="H52:I52"/>
    <mergeCell ref="C53:D53"/>
    <mergeCell ref="E53:F53"/>
    <mergeCell ref="H53:I53"/>
    <mergeCell ref="A33:B33"/>
    <mergeCell ref="C33:J33"/>
    <mergeCell ref="A34:B34"/>
    <mergeCell ref="C34:E34"/>
    <mergeCell ref="G34:J34"/>
    <mergeCell ref="A35:B35"/>
    <mergeCell ref="C35:E35"/>
    <mergeCell ref="G35:J35"/>
    <mergeCell ref="A49:B49"/>
    <mergeCell ref="C49:D49"/>
    <mergeCell ref="E49:F49"/>
    <mergeCell ref="H49:I49"/>
    <mergeCell ref="A38:J38"/>
    <mergeCell ref="A40:J40"/>
    <mergeCell ref="A41:J41"/>
    <mergeCell ref="A24:B25"/>
    <mergeCell ref="C24:J25"/>
    <mergeCell ref="B26:E26"/>
    <mergeCell ref="G26:J26"/>
    <mergeCell ref="B27:E27"/>
    <mergeCell ref="G27:J27"/>
    <mergeCell ref="A31:B31"/>
    <mergeCell ref="C31:J31"/>
    <mergeCell ref="A32:B32"/>
    <mergeCell ref="C32:J32"/>
    <mergeCell ref="A19:B19"/>
    <mergeCell ref="C19:J19"/>
    <mergeCell ref="A20:B20"/>
    <mergeCell ref="C20:J20"/>
    <mergeCell ref="A21:B21"/>
    <mergeCell ref="C21:J21"/>
    <mergeCell ref="A22:B22"/>
    <mergeCell ref="C22:J22"/>
    <mergeCell ref="A23:B23"/>
    <mergeCell ref="C23:J23"/>
    <mergeCell ref="A11:B11"/>
    <mergeCell ref="C11:J11"/>
    <mergeCell ref="A12:J12"/>
    <mergeCell ref="A13:J13"/>
    <mergeCell ref="A14:B14"/>
    <mergeCell ref="C14:E14"/>
    <mergeCell ref="F14:G14"/>
    <mergeCell ref="H14:J14"/>
    <mergeCell ref="A15:B15"/>
    <mergeCell ref="C15:E15"/>
    <mergeCell ref="F15:G15"/>
    <mergeCell ref="H15:J15"/>
    <mergeCell ref="I1:J2"/>
    <mergeCell ref="A4:J4"/>
    <mergeCell ref="A5:J5"/>
    <mergeCell ref="C6:H6"/>
    <mergeCell ref="A8:B8"/>
    <mergeCell ref="C8:J8"/>
    <mergeCell ref="A9:B9"/>
    <mergeCell ref="C9:J9"/>
    <mergeCell ref="A10:B10"/>
    <mergeCell ref="C10:J10"/>
  </mergeCells>
  <conditionalFormatting sqref="A209">
    <cfRule type="cellIs" dxfId="5" priority="2" operator="between">
      <formula>0.0006944444444</formula>
      <formula>6</formula>
    </cfRule>
  </conditionalFormatting>
  <conditionalFormatting sqref="A209:A215">
    <cfRule type="cellIs" dxfId="4" priority="3" operator="equal">
      <formula>$J$203</formula>
    </cfRule>
  </conditionalFormatting>
  <conditionalFormatting sqref="C209:C215">
    <cfRule type="cellIs" dxfId="3" priority="4" operator="equal">
      <formula>$C$205</formula>
    </cfRule>
  </conditionalFormatting>
  <conditionalFormatting sqref="C220:C224">
    <cfRule type="cellIs" dxfId="2" priority="5" operator="equal">
      <formula>$C$216</formula>
    </cfRule>
  </conditionalFormatting>
  <conditionalFormatting sqref="F209:F216">
    <cfRule type="cellIs" dxfId="1" priority="6" operator="equal">
      <formula>$F$205</formula>
    </cfRule>
  </conditionalFormatting>
  <conditionalFormatting sqref="I209:I217">
    <cfRule type="cellIs" dxfId="0" priority="7" operator="equal">
      <formula>$I$205</formula>
    </cfRule>
  </conditionalFormatting>
  <hyperlinks>
    <hyperlink ref="G26" r:id="rId1" xr:uid="{D6A31665-1846-7544-AE39-6A78432C3B9A}"/>
  </hyperlinks>
  <printOptions horizontalCentered="1"/>
  <pageMargins left="0.25" right="0.25" top="0.75" bottom="0.75" header="0.511811023622047" footer="0.511811023622047"/>
  <pageSetup paperSize="9" orientation="portrait" horizontalDpi="300" verticalDpi="300"/>
  <drawing r:id="rId2"/>
</worksheet>
</file>

<file path=docProps/app.xml><?xml version="1.0" encoding="utf-8"?>
<Properties xmlns="http://schemas.openxmlformats.org/officeDocument/2006/extended-properties" xmlns:vt="http://schemas.openxmlformats.org/officeDocument/2006/docPropsVTypes">
  <Template/>
  <TotalTime>2</TotalTime>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Zk 540</cp:lastModifiedBy>
  <cp:revision>1</cp:revision>
  <dcterms:created xsi:type="dcterms:W3CDTF">2024-05-11T21:12:59Z</dcterms:created>
  <dcterms:modified xsi:type="dcterms:W3CDTF">2026-06-30T15:37:32Z</dcterms:modified>
  <dc:language>it-IT</dc:language>
</cp:coreProperties>
</file>